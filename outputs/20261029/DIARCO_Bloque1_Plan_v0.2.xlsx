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94304ce39340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a7d4796ea22f47fd"/>
    <x:sheet xmlns:r="http://schemas.openxmlformats.org/officeDocument/2006/relationships" name="Asignaciones" sheetId="2" r:id="Rc855b93c99154f02"/>
    <x:sheet xmlns:r="http://schemas.openxmlformats.org/officeDocument/2006/relationships" name="WBS" sheetId="3" r:id="Rd3b9c7b0da6a429c"/>
    <x:sheet xmlns:r="http://schemas.openxmlformats.org/officeDocument/2006/relationships" name="RACI" sheetId="4" r:id="Ra85ada92531344b5"/>
    <x:sheet xmlns:r="http://schemas.openxmlformats.org/officeDocument/2006/relationships" name="GAPS" sheetId="5" r:id="Re162c6de6e6c40d7"/>
    <x:sheet xmlns:r="http://schemas.openxmlformats.org/officeDocument/2006/relationships" name="UAT" sheetId="6" r:id="R78323d5b77af4bf7"/>
    <x:sheet xmlns:r="http://schemas.openxmlformats.org/officeDocument/2006/relationships" name="OC paralelo" sheetId="7" r:id="Rfcaff5c226874a1c"/>
    <x:sheet xmlns:r="http://schemas.openxmlformats.org/officeDocument/2006/relationships" name="Formacion" sheetId="8" r:id="R3b75db41492947fb"/>
    <x:sheet xmlns:r="http://schemas.openxmlformats.org/officeDocument/2006/relationships" name="Decisiones" sheetId="9" r:id="R6e0a749c06204321"/>
    <x:sheet xmlns:r="http://schemas.openxmlformats.org/officeDocument/2006/relationships" name="Gates" sheetId="10" r:id="R93f8be7bed3c4ce4"/>
    <x:sheet xmlns:r="http://schemas.openxmlformats.org/officeDocument/2006/relationships" name="Riesgos" sheetId="11" r:id="R4b4c88ca2eeb4d36"/>
    <x:sheet xmlns:r="http://schemas.openxmlformats.org/officeDocument/2006/relationships" name="Capacidad" sheetId="12" r:id="Rc524c722ccdd449a"/>
    <x:sheet xmlns:r="http://schemas.openxmlformats.org/officeDocument/2006/relationships" name="Gobierno" sheetId="13" r:id="Ref6f0a504c714335"/>
    <x:sheet xmlns:r="http://schemas.openxmlformats.org/officeDocument/2006/relationships" name="Fuentes" sheetId="14" r:id="R22c4792f4e4449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.0"/>
  </x:numFmts>
  <x:fonts count="8">
    <x:font>
      <x:sz val="11"/>
      <x:name val="Carlito"/>
    </x:font>
    <x:font>
      <x:sz val="10"/>
      <x:color rgb="FF203040"/>
      <x:name val="Arial"/>
    </x:font>
    <x:font>
      <x:b/>
      <x:sz val="15"/>
      <x:color rgb="FF19334C"/>
      <x:name val="Arial"/>
    </x:font>
    <x:font>
      <x:i/>
      <x:sz val="10"/>
      <x:color rgb="FF5E6B77"/>
      <x:name val="Arial"/>
    </x:font>
    <x:font>
      <x:b/>
      <x:sz val="10"/>
      <x:color rgb="FFFFFFFF"/>
      <x:name val="Arial"/>
    </x:font>
    <x:font>
      <x:sz val="11"/>
      <x:color rgb="FF203040"/>
      <x:name val="Arial"/>
    </x:font>
    <x:font>
      <x:b/>
      <x:sz val="16"/>
      <x:color rgb="FF19334C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9334C"/>
      </x:patternFill>
    </x:fill>
    <x:fill>
      <x:patternFill patternType="solid">
        <x:fgColor rgb="FFFFFFFF"/>
      </x:patternFill>
    </x:fill>
    <x:fill>
      <x:patternFill patternType="solid">
        <x:fgColor rgb="FFF1F4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5" fillId="2" borderId="0" xfId="0" applyNumberFormat="1" applyFont="1" applyFill="1" applyBorder="1"/>
    <x:xf numFmtId="0" fontId="7" fillId="2" borderId="0" xfId="0" applyNumberFormat="1" applyFont="1" applyFill="1" applyBorder="1"/>
  </x:cellXfs>
  <x:cellStyles count="1">
    <x:cellStyle name="Normal" xfId="0"/>
  </x:cellStyles>
  <x:dxfs count="6">
    <x:dxf>
      <x:font>
        <x:color rgb="FF9C260F"/>
      </x:font>
      <x:fill>
        <x:patternFill patternType="solid">
          <x:bgColor rgb="FFFCE4D6"/>
        </x:patternFill>
      </x:fill>
    </x:dxf>
    <x:dxf>
      <x:font>
        <x:color rgb="FF9C260F"/>
      </x:font>
      <x:fill>
        <x:patternFill patternType="solid">
          <x:bgColor rgb="FFFCE4D6"/>
        </x:patternFill>
      </x:fill>
    </x:dxf>
    <x:dxf>
      <x:font>
        <x:color rgb="FF9C260F"/>
      </x:font>
      <x:fill>
        <x:patternFill patternType="solid">
          <x:bgColor rgb="FFFCE4D6"/>
        </x:patternFill>
      </x:fill>
    </x:dxf>
    <x:dxf>
      <x:font>
        <x:color rgb="FF9C260F"/>
      </x:font>
      <x:fill>
        <x:patternFill patternType="solid">
          <x:bgColor rgb="FFFCE4D6"/>
        </x:patternFill>
      </x:fill>
    </x:dxf>
    <x:dxf>
      <x:font>
        <x:color rgb="FF9C260F"/>
      </x:font>
      <x:fill>
        <x:patternFill patternType="solid">
          <x:bgColor rgb="FFFCE4D6"/>
        </x:patternFill>
      </x:fill>
    </x:dxf>
    <x:dxf>
      <x:font>
        <x:color rgb="FF9C260F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20d101d9a84c4e" /><Relationship Type="http://schemas.openxmlformats.org/officeDocument/2006/relationships/theme" Target="/xl/theme/theme1.xml" Id="R612f1c40d86a49cc" /><Relationship Type="http://schemas.openxmlformats.org/officeDocument/2006/relationships/sharedStrings" Target="/xl/sharedStrings.xml" Id="Ree14c05d106646b7" /><Relationship Type="http://schemas.openxmlformats.org/officeDocument/2006/relationships/worksheet" Target="/xl/worksheets/sheet1.xml" Id="Ra7d4796ea22f47fd" /><Relationship Type="http://schemas.openxmlformats.org/officeDocument/2006/relationships/worksheet" Target="/xl/worksheets/sheet2.xml" Id="Rc855b93c99154f02" /><Relationship Type="http://schemas.openxmlformats.org/officeDocument/2006/relationships/worksheet" Target="/xl/worksheets/sheet3.xml" Id="Rd3b9c7b0da6a429c" /><Relationship Type="http://schemas.openxmlformats.org/officeDocument/2006/relationships/worksheet" Target="/xl/worksheets/sheet4.xml" Id="Ra85ada92531344b5" /><Relationship Type="http://schemas.openxmlformats.org/officeDocument/2006/relationships/worksheet" Target="/xl/worksheets/sheet5.xml" Id="Re162c6de6e6c40d7" /><Relationship Type="http://schemas.openxmlformats.org/officeDocument/2006/relationships/worksheet" Target="/xl/worksheets/sheet6.xml" Id="R78323d5b77af4bf7" /><Relationship Type="http://schemas.openxmlformats.org/officeDocument/2006/relationships/worksheet" Target="/xl/worksheets/sheet7.xml" Id="Rfcaff5c226874a1c" /><Relationship Type="http://schemas.openxmlformats.org/officeDocument/2006/relationships/worksheet" Target="/xl/worksheets/sheet8.xml" Id="R3b75db41492947fb" /><Relationship Type="http://schemas.openxmlformats.org/officeDocument/2006/relationships/worksheet" Target="/xl/worksheets/sheet9.xml" Id="R6e0a749c06204321" /><Relationship Type="http://schemas.openxmlformats.org/officeDocument/2006/relationships/worksheet" Target="/xl/worksheets/sheet10.xml" Id="R93f8be7bed3c4ce4" /><Relationship Type="http://schemas.openxmlformats.org/officeDocument/2006/relationships/worksheet" Target="/xl/worksheets/sheet11.xml" Id="R4b4c88ca2eeb4d36" /><Relationship Type="http://schemas.openxmlformats.org/officeDocument/2006/relationships/worksheet" Target="/xl/worksheets/sheet12.xml" Id="Rc524c722ccdd449a" /><Relationship Type="http://schemas.openxmlformats.org/officeDocument/2006/relationships/worksheet" Target="/xl/worksheets/sheet13.xml" Id="Ref6f0a504c714335" /><Relationship Type="http://schemas.openxmlformats.org/officeDocument/2006/relationships/worksheet" Target="/xl/worksheets/sheet14.xml" Id="R22c4792f4e444932" /></Relationships>
</file>

<file path=xl/tables/table1.xml><?xml version="1.0" encoding="utf-8"?>
<x:table xmlns:x="http://schemas.openxmlformats.org/spreadsheetml/2006/main" id="1" name="T_Asignaciones" displayName="T_Asignaciones" ref="A5:Q15" headerRowCount="1" totalsRowCount="0" totalsRowShown="0">
  <x:tableColumns count="17">
    <x:tableColumn id="1" name="ID"/>
    <x:tableColumn id="2" name="Capacidad B1"/>
    <x:tableColumn id="3" name="Bloque"/>
    <x:tableColumn id="4" name="Dueño propuesto (función)"/>
    <x:tableColumn id="5" name="Interlocutor de antecedentes"/>
    <x:tableColumn id="6" name="Titular confirmado"/>
    <x:tableColumn id="7" name="Suplente confirmado"/>
    <x:tableColumn id="8" name="Jefatura que libera tiempo"/>
    <x:tableColumn id="9" name="h titular/semana"/>
    <x:tableColumn id="10" name="h suplente/semana"/>
    <x:tableColumn id="11" name="Ventanas de agenda"/>
    <x:tableColumn id="12" name="Compromiso"/>
    <x:tableColumn id="13" name="Acepta jefatura"/>
    <x:tableColumn id="14" name="Fecha aceptación"/>
    <x:tableColumn id="15" name="Preparación del equipo"/>
    <x:tableColumn id="16" name="Dueño nominal confirmado"/>
    <x:tableColumn id="17" name="Aceptación del dueñ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WBS" displayName="T_WBS" ref="A5:P117" headerRowCount="1" totalsRowCount="0" totalsRowShown="0">
  <x:tableColumns count="16">
    <x:tableColumn id="1" name="WBS"/>
    <x:tableColumn id="2" name="Módulo"/>
    <x:tableColumn id="3" name="Actividad"/>
    <x:tableColumn id="4" name="Entregable / acción concreta"/>
    <x:tableColumn id="5" name="R"/>
    <x:tableColumn id="6" name="A"/>
    <x:tableColumn id="7" name="Predecesoras"/>
    <x:tableColumn id="8" name="Ventana propuesta"/>
    <x:tableColumn id="9" name="Criterio de cierre"/>
    <x:tableColumn id="10" name="Estado"/>
    <x:tableColumn id="11" name="Nombre ejecutor R"/>
    <x:tableColumn id="12" name="Fecha objetivo"/>
    <x:tableColumn id="13" name="Evidencia"/>
    <x:tableColumn id="14" name="Aceptado por"/>
    <x:tableColumn id="15" name="Fecha aceptación"/>
    <x:tableColumn id="16" name="Control de cierr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RACI" displayName="T_RACI" ref="A5:M26" headerRowCount="1" totalsRowCount="0" totalsRowShown="0">
  <x:tableColumns count="13">
    <x:tableColumn id="1" name="ID"/>
    <x:tableColumn id="2" name="Actividad"/>
    <x:tableColumn id="3" name="SP"/>
    <x:tableColumn id="4" name="LD"/>
    <x:tableColumn id="5" name="DP"/>
    <x:tableColumn id="6" name="RF"/>
    <x:tableColumn id="7" name="US"/>
    <x:tableColumn id="8" name="MD"/>
    <x:tableColumn id="9" name="IT"/>
    <x:tableColumn id="10" name="LZ"/>
    <x:tableColumn id="11" name="ZF"/>
    <x:tableColumn id="12" name="ZT"/>
    <x:tableColumn id="13" name="EX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_GAPS" displayName="T_GAPS" ref="A5:K18" headerRowCount="1" totalsRowCount="0" totalsRowShown="0">
  <x:tableColumns count="11">
    <x:tableColumn id="1" name="GAP"/>
    <x:tableColumn id="2" name="Módulo"/>
    <x:tableColumn id="3" name="Capacidad / pedido"/>
    <x:tableColumn id="4" name="Clasificación documentada"/>
    <x:tableColumn id="5" name="Condición / detalle pendiente"/>
    <x:tableColumn id="6" name="Fuentes"/>
    <x:tableColumn id="7" name="Decisión final"/>
    <x:tableColumn id="8" name="Dueño de decisión"/>
    <x:tableColumn id="9" name="Fecha"/>
    <x:tableColumn id="10" name="Motivo / impacto"/>
    <x:tableColumn id="11" name="Evidenci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_UAT" displayName="T_UAT" ref="A5:X38" headerRowCount="1" totalsRowCount="0" totalsRowShown="0">
  <x:tableColumns count="24">
    <x:tableColumn id="1" name="Caso / ejecución"/>
    <x:tableColumn id="2" name="Módulo"/>
    <x:tableColumn id="3" name="Escenario"/>
    <x:tableColumn id="4" name="Criticidad"/>
    <x:tableColumn id="5" name="Precondiciones / dataset"/>
    <x:tableColumn id="6" name="Pasos"/>
    <x:tableColumn id="7" name="Resultado esperado a aprobar"/>
    <x:tableColumn id="8" name="R ejecuta"/>
    <x:tableColumn id="9" name="A acepta"/>
    <x:tableColumn id="10" name="Versión"/>
    <x:tableColumn id="11" name="Ambiente"/>
    <x:tableColumn id="12" name="Dataset / corte"/>
    <x:tableColumn id="13" name="Ejecutado por"/>
    <x:tableColumn id="14" name="Fecha ejecución"/>
    <x:tableColumn id="15" name="Resultado real"/>
    <x:tableColumn id="16" name="Evidencia"/>
    <x:tableColumn id="17" name="Defecto"/>
    <x:tableColumn id="18" name="Dictamen"/>
    <x:tableColumn id="19" name="Aceptado por"/>
    <x:tableColumn id="20" name="Estado ejecución"/>
    <x:tableColumn id="21" name="Control de evidencia"/>
    <x:tableColumn id="22" name="Fecha aceptación"/>
    <x:tableColumn id="23" name="Esperado aprobado por"/>
    <x:tableColumn id="24" name="Fecha validación esperad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_OCparalelo" displayName="T_OCparalelo" ref="A5:K23" headerRowCount="1" totalsRowCount="0" totalsRowShown="0">
  <x:tableColumns count="11">
    <x:tableColumn id="1" name="OC / ejecución"/>
    <x:tableColumn id="2" name="Línea / campo"/>
    <x:tableColumn id="3" name="Connexa"/>
    <x:tableColumn id="4" name="DIARCO / SGM (válido)"/>
    <x:tableColumn id="5" name="Esperado independiente"/>
    <x:tableColumn id="6" name="Tolerancia acordada"/>
    <x:tableColumn id="7" name="Diferencia / causa"/>
    <x:tableColumn id="8" name="Dictamen"/>
    <x:tableColumn id="9" name="Responsable"/>
    <x:tableColumn id="10" name="Evidencia"/>
    <x:tableColumn id="11" name="Fecha comparació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_Formacion" displayName="T_Formacion" ref="A5:K25" headerRowCount="1" totalsRowCount="0" totalsRowShown="0">
  <x:tableColumns count="11">
    <x:tableColumn id="1" name="Módulo"/>
    <x:tableColumn id="2" name="Rol"/>
    <x:tableColumn id="3" name="Persona"/>
    <x:tableColumn id="4" name="Qué debe demostrar"/>
    <x:tableColumn id="5" name="Versión / material"/>
    <x:tableColumn id="6" name="Fecha evaluación"/>
    <x:tableColumn id="7" name="Resultado"/>
    <x:tableColumn id="8" name="Brecha / acción"/>
    <x:tableColumn id="9" name="Evaluador"/>
    <x:tableColumn id="10" name="Evidencia"/>
    <x:tableColumn id="11" name="Fecha reprueba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_Decisiones" displayName="T_Decisiones" ref="A5:K18" headerRowCount="1" totalsRowCount="0" totalsRowShown="0">
  <x:tableColumns count="11">
    <x:tableColumn id="1" name="ID"/>
    <x:tableColumn id="2" name="Decisión requerida"/>
    <x:tableColumn id="3" name="A"/>
    <x:tableColumn id="4" name="Ventana propuesta"/>
    <x:tableColumn id="5" name="Estado"/>
    <x:tableColumn id="6" name="Criterio / contenido"/>
    <x:tableColumn id="7" name="Fuentes"/>
    <x:tableColumn id="8" name="Decisión registrada"/>
    <x:tableColumn id="9" name="Nombre decisor"/>
    <x:tableColumn id="10" name="Fecha decisión"/>
    <x:tableColumn id="11" name="Evidencia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_Gates" displayName="T_Gates" ref="A5:K10" headerRowCount="1" totalsRowCount="0" totalsRowShown="0">
  <x:tableColumns count="11">
    <x:tableColumn id="1" name="Gate"/>
    <x:tableColumn id="2" name="Resultado"/>
    <x:tableColumn id="3" name="Criterio propuesto"/>
    <x:tableColumn id="4" name="A"/>
    <x:tableColumn id="5" name="Evidencia requerida"/>
    <x:tableColumn id="6" name="Módulo / oleada"/>
    <x:tableColumn id="7" name="Versión"/>
    <x:tableColumn id="8" name="Decisión"/>
    <x:tableColumn id="9" name="Nombre decisor"/>
    <x:tableColumn id="10" name="Fecha"/>
    <x:tableColumn id="11" name="Enlace / reserva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_Riesgos" displayName="T_Riesgos" ref="A5:K16" headerRowCount="1" totalsRowCount="0" totalsRowShown="0">
  <x:tableColumns count="11">
    <x:tableColumn id="1" name="ID"/>
    <x:tableColumn id="2" name="Riesgo"/>
    <x:tableColumn id="3" name="Dueño rol"/>
    <x:tableColumn id="4" name="Impacto"/>
    <x:tableColumn id="5" name="Señal / disparador"/>
    <x:tableColumn id="6" name="Respuesta propuesta"/>
    <x:tableColumn id="7" name="Decisión vinculada"/>
    <x:tableColumn id="8" name="Dueño nominal"/>
    <x:tableColumn id="9" name="Fecha acción"/>
    <x:tableColumn id="10" name="Estado"/>
    <x:tableColumn id="11" name="Evidencia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_Capacidad" displayName="T_Capacidad" ref="A5:J17" headerRowCount="1" totalsRowCount="0" totalsRowShown="0">
  <x:tableColumns count="10">
    <x:tableColumn id="1" name="Código"/>
    <x:tableColumn id="2" name="Rol"/>
    <x:tableColumn id="3" name="Organización"/>
    <x:tableColumn id="4" name="Resultado del rol"/>
    <x:tableColumn id="5" name="h/sem mínimo"/>
    <x:tableColumn id="6" name="h/sem máximo"/>
    <x:tableColumn id="7" name="Cantidad personas"/>
    <x:tableColumn id="8" name="Reserva mínima h"/>
    <x:tableColumn id="9" name="Reserva máxima h"/>
    <x:tableColumn id="10" name="Nota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_Gobierno" displayName="T_Gobierno" ref="A5:E10" headerRowCount="1" totalsRowCount="0" totalsRowShown="0">
  <x:tableColumns count="5">
    <x:tableColumn id="1" name="Persona"/>
    <x:tableColumn id="2" name="Cargo informado"/>
    <x:tableColumn id="3" name="Función propuesta"/>
    <x:tableColumn id="4" name="Estado"/>
    <x:tableColumn id="5" name="Facultad por acordar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_Fuentes" displayName="T_Fuentes" ref="A5:E35" headerRowCount="1" totalsRowCount="0" totalsRowShown="0">
  <x:tableColumns count="5">
    <x:tableColumn id="1" name="ID"/>
    <x:tableColumn id="2" name="Fuente"/>
    <x:tableColumn id="3" name="Corte"/>
    <x:tableColumn id="4" name="Uso / límites"/>
    <x:tableColumn id="5" name="Ubicac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2fdec824ca4f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59c88e8df941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c4c4ec934e4a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34cc2be20024ca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5443d0143bc481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1b6e22559724c9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85c0fbe49964f2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81670a4324d47a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58c0e7c19fc4fa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c1dc5dd300a402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d244853f5b9417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9bfef21adf74f8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ad7116cff3f49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0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>
      <x:c r="A1" s="20"/>
      <x:c r="B1" s="20"/>
      <x:c r="C1" s="20"/>
      <x:c r="D1" s="20"/>
      <x:c r="E1" s="20"/>
      <x:c r="F1" s="20"/>
    </x:row>
    <x:row r="2" ht="25" customHeight="1">
      <x:c r="A2" s="21" t="str">
        <x:v>DIARCO · Implementación Bloque 1</x:v>
      </x:c>
      <x:c r="B2" s="20"/>
      <x:c r="C2" s="20"/>
      <x:c r="D2" s="20"/>
      <x:c r="E2" s="20"/>
      <x:c r="F2" s="20"/>
    </x:row>
    <x:row r="3" ht="25" customHeight="1">
      <x:c r="A3" s="20"/>
      <x:c r="B3" s="20"/>
      <x:c r="C3" s="20"/>
      <x:c r="D3" s="20"/>
      <x:c r="E3" s="20"/>
      <x:c r="F3" s="20"/>
    </x:row>
    <x:row r="4" ht="25" customHeight="1">
      <x:c r="A4" s="20" t="str">
        <x:v>Objetivo vigente</x:v>
      </x:c>
      <x:c r="B4" s="20" t="str">
        <x:v>Desde 04/11: módulos productivos, smoke y paralelo</x:v>
      </x:c>
      <x:c r="C4" s="20"/>
      <x:c r="D4" s="20"/>
      <x:c r="E4" s="20"/>
      <x:c r="F4" s="20"/>
    </x:row>
    <x:row r="5" ht="25" customHeight="1">
      <x:c r="A5" s="20" t="str">
        <x:v>Autoridad en paralelo</x:v>
      </x:c>
      <x:c r="B5" s="20" t="str">
        <x:v>La información DIARCO/SGM sigue siendo válida</x:v>
      </x:c>
      <x:c r="C5" s="20"/>
      <x:c r="D5" s="20"/>
      <x:c r="E5" s="20"/>
      <x:c r="F5" s="20"/>
    </x:row>
    <x:row r="6" ht="25" customHeight="1">
      <x:c r="A6" s="20" t="str">
        <x:v>Estado del kit</x:v>
      </x:c>
      <x:c r="B6" s="20" t="str">
        <x:v>Propuesta. Sin ejecución ni aceptación acreditadas</x:v>
      </x:c>
      <x:c r="C6" s="20"/>
      <x:c r="D6" s="20"/>
      <x:c r="E6" s="20"/>
      <x:c r="F6" s="20"/>
    </x:row>
    <x:row r="7" ht="25" customHeight="1">
      <x:c r="A7" s="20"/>
      <x:c r="B7" s="20"/>
      <x:c r="C7" s="20"/>
      <x:c r="D7" s="20"/>
      <x:c r="E7" s="20"/>
      <x:c r="F7" s="20"/>
    </x:row>
    <x:row r="8" ht="25" customHeight="1">
      <x:c r="A8" s="23" t="str">
        <x:v>Indicador de preparación</x:v>
      </x:c>
      <x:c r="B8" s="23" t="str">
        <x:v>Cantidad</x:v>
      </x:c>
      <x:c r="C8" s="20"/>
      <x:c r="D8" s="20"/>
      <x:c r="E8" s="20"/>
      <x:c r="F8" s="20"/>
    </x:row>
    <x:row r="9" ht="25" customHeight="1">
      <x:c r="A9" s="20" t="str">
        <x:v>Frentes B1 planificados</x:v>
      </x:c>
      <x:c r="B9" s="20" t="n">
        <x:f>COUNTA(Asignaciones!A6:A15)</x:f>
        <x:v>10</x:v>
      </x:c>
      <x:c r="C9" s="20"/>
      <x:c r="D9" s="20"/>
      <x:c r="E9" s="20"/>
      <x:c r="F9" s="20"/>
    </x:row>
    <x:row r="10" ht="25" customHeight="1">
      <x:c r="A10" s="20" t="str">
        <x:v>Equipos con compromiso nominal</x:v>
      </x:c>
      <x:c r="B10" s="20" t="n">
        <x:f>COUNTIF(Asignaciones!O6:O15,"Equipo confirmado")</x:f>
        <x:v>0</x:v>
      </x:c>
      <x:c r="C10" s="20"/>
      <x:c r="D10" s="20"/>
      <x:c r="E10" s="20"/>
      <x:c r="F10" s="20"/>
    </x:row>
    <x:row r="11" ht="25" customHeight="1">
      <x:c r="A11" s="20" t="str">
        <x:v>Actividades WBS propuestas</x:v>
      </x:c>
      <x:c r="B11" s="20" t="n">
        <x:f>COUNTA(WBS!A6:A117)</x:f>
        <x:v>112</x:v>
      </x:c>
      <x:c r="C11" s="20"/>
      <x:c r="D11" s="20"/>
      <x:c r="E11" s="20"/>
      <x:c r="F11" s="20"/>
    </x:row>
    <x:row r="12" ht="25" customHeight="1">
      <x:c r="A12" s="20" t="str">
        <x:v>Actividades con cierre documentado</x:v>
      </x:c>
      <x:c r="B12" s="20" t="n">
        <x:f>COUNTIF(WBS!P6:P117,"Cierre documentado")</x:f>
        <x:v>0</x:v>
      </x:c>
      <x:c r="C12" s="20"/>
      <x:c r="D12" s="20"/>
      <x:c r="E12" s="20"/>
      <x:c r="F12" s="20"/>
    </x:row>
    <x:row r="13" ht="25" customHeight="1">
      <x:c r="A13" s="20" t="str">
        <x:v>Registros UAT/smoke</x:v>
      </x:c>
      <x:c r="B13" s="20" t="n">
        <x:f>COUNTA(UAT!A6:A38)</x:f>
        <x:v>33</x:v>
      </x:c>
      <x:c r="C13" s="20"/>
      <x:c r="D13" s="20"/>
      <x:c r="E13" s="20"/>
      <x:c r="F13" s="20"/>
    </x:row>
    <x:row r="14" ht="25" customHeight="1">
      <x:c r="A14" s="20" t="str">
        <x:v>Ejecuciones aceptadas con evidencia</x:v>
      </x:c>
      <x:c r="B14" s="20" t="n">
        <x:f>COUNTIF(UAT!U6:U38,"Ejecución aceptada")</x:f>
        <x:v>0</x:v>
      </x:c>
      <x:c r="C14" s="20"/>
      <x:c r="D14" s="20"/>
      <x:c r="E14" s="20"/>
      <x:c r="F14" s="20"/>
    </x:row>
    <x:row r="15" ht="25" customHeight="1">
      <x:c r="A15" s="20" t="str">
        <x:v>Registros RF/suplente por evaluar</x:v>
      </x:c>
      <x:c r="B15" s="20" t="n">
        <x:f>COUNTIF(Formacion!G6:G25,"No evaluado")</x:f>
        <x:v>20</x:v>
      </x:c>
      <x:c r="C15" s="20"/>
      <x:c r="D15" s="20"/>
      <x:c r="E15" s="20"/>
      <x:c r="F15" s="20"/>
    </x:row>
    <x:row r="16" ht="25" customHeight="1">
      <x:c r="A16" s="20" t="str">
        <x:v>Decisiones aún sin resolver</x:v>
      </x:c>
      <x:c r="B16" s="20" t="n">
        <x:f>COUNTIF(Decisiones!E6:E18,"Sin decidir")+COUNTIF(Decisiones!E6:E18,"En análisis")</x:f>
        <x:v>13</x:v>
      </x:c>
      <x:c r="C16" s="20"/>
      <x:c r="D16" s="20"/>
      <x:c r="E16" s="20"/>
      <x:c r="F16" s="20"/>
    </x:row>
    <x:row r="17" ht="25" customHeight="1">
      <x:c r="A17" s="20"/>
      <x:c r="B17" s="20"/>
      <x:c r="C17" s="20"/>
      <x:c r="D17" s="20"/>
      <x:c r="E17" s="20"/>
      <x:c r="F17" s="20"/>
    </x:row>
    <x:row r="18" ht="25" customHeight="1">
      <x:c r="A18" s="20"/>
      <x:c r="B18" s="20"/>
      <x:c r="C18" s="20"/>
      <x:c r="D18" s="20"/>
      <x:c r="E18" s="20"/>
      <x:c r="F18" s="20"/>
    </x:row>
    <x:row r="19" ht="25" customHeight="1">
      <x:c r="A19" s="20" t="str">
        <x:v>Próximo paso de Dirección</x:v>
      </x:c>
      <x:c r="B19" s="20" t="str">
        <x:v>Confirmar personas, horas y población del paralelo</x:v>
      </x:c>
      <x:c r="C19" s="20"/>
      <x:c r="D19" s="20"/>
      <x:c r="E19" s="20"/>
      <x:c r="F19" s="20"/>
    </x:row>
    <x:row r="20" ht="25" customHeight="1">
      <x:c r="A20" s="20"/>
      <x:c r="B20" s="20"/>
      <x:c r="C20" s="20"/>
      <x:c r="D20" s="20"/>
      <x:c r="E20" s="20"/>
      <x:c r="F20" s="20"/>
    </x:row>
    <x:row r="21" ht="25" customHeight="1">
      <x:c r="A21" s="20" t="str">
        <x:v>Uso del libro</x:v>
      </x:c>
      <x:c r="B21" s="20" t="str">
        <x:v>Amarillo = entrada humana. Fórmulas = control documental, no aprobación automática.</x:v>
      </x:c>
      <x:c r="C21" s="20"/>
      <x:c r="D21" s="20"/>
      <x:c r="E21" s="20"/>
      <x:c r="F21" s="20"/>
    </x:row>
    <x:row r="22" ht="25" customHeight="1">
      <x:c r="A22" s="20"/>
      <x:c r="B22" s="20" t="str">
        <x:v>UAT: conservar ejecuciones y repruebas. OC paralelo: duplicar bloque por OC/línea.</x:v>
      </x:c>
      <x:c r="C22" s="20"/>
      <x:c r="D22" s="20"/>
      <x:c r="E22" s="20"/>
      <x:c r="F22" s="20"/>
    </x:row>
    <x:row r="23" ht="25" customHeight="1">
      <x:c r="A23" s="20"/>
      <x:c r="B23" s="20" t="str">
        <x:v>Nuevas filas: ampliar tablas y rangos de fórmulas/resumen. Revisar IDs y dependencias.</x:v>
      </x:c>
      <x:c r="C23" s="20"/>
      <x:c r="D23" s="20"/>
      <x:c r="E23" s="20"/>
      <x:c r="F23" s="20"/>
    </x:row>
    <x:row r="24" ht="25" customHeight="1">
      <x:c r="A24" s="20"/>
      <x:c r="B24" s="20" t="str">
        <x:v>Los indicadores iniciales muestran preparación pendiente, no porcentajes de avance histórico.</x:v>
      </x:c>
      <x:c r="C24" s="20"/>
      <x:c r="D24" s="20"/>
      <x:c r="E24" s="20"/>
      <x:c r="F24" s="20"/>
    </x:row>
    <x:row r="25" ht="25" customHeight="1">
      <x:c r="A25" s="20"/>
      <x:c r="B25" s="20" t="str">
        <x:v>Un gate requiere firma humana y evidencia, aunque los controles documentales estén completos.</x:v>
      </x:c>
      <x:c r="C25" s="20"/>
      <x:c r="D25" s="20"/>
      <x:c r="E25" s="20"/>
      <x:c r="F25" s="20"/>
    </x:row>
    <x:row r="26">
      <x:c r="A26" s="20"/>
      <x:c r="B26" s="20"/>
      <x:c r="C26" s="20"/>
      <x:c r="D26" s="20"/>
      <x:c r="E26" s="20"/>
      <x:c r="F26" s="20"/>
    </x:row>
    <x:row r="27">
      <x:c r="A27" s="20"/>
      <x:c r="B27" s="20"/>
      <x:c r="C27" s="20"/>
      <x:c r="D27" s="20"/>
      <x:c r="E27" s="20"/>
      <x:c r="F27" s="20"/>
    </x:row>
    <x:row r="28">
      <x:c r="A28" s="20"/>
      <x:c r="B28" s="20"/>
      <x:c r="C28" s="20"/>
      <x:c r="D28" s="20"/>
      <x:c r="E28" s="20"/>
      <x:c r="F28" s="20"/>
    </x:row>
    <x:row r="29">
      <x:c r="A29" s="20"/>
      <x:c r="B29" s="20"/>
      <x:c r="C29" s="20"/>
      <x:c r="D29" s="20"/>
      <x:c r="E29" s="20"/>
      <x:c r="F29" s="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34" hidden="0" customWidth="1"/>
    <x:col min="3" max="3" width="12" hidden="0" customWidth="1"/>
    <x:col min="4" max="4" width="30" hidden="0" customWidth="1"/>
    <x:col min="5" max="5" width="42" hidden="0" customWidth="1"/>
    <x:col min="6" max="6" width="28" hidden="0" customWidth="1"/>
    <x:col min="7" max="7" width="28" hidden="0" customWidth="1"/>
    <x:col min="8" max="8" width="28" hidden="0" customWidth="1"/>
    <x:col min="9" max="9" width="17" hidden="0" customWidth="1"/>
    <x:col min="10" max="10" width="18" hidden="0" customWidth="1"/>
    <x:col min="11" max="11" width="32" hidden="0" customWidth="1"/>
    <x:col min="12" max="12" width="19" hidden="0" customWidth="1"/>
    <x:col min="13" max="13" width="27" hidden="0" customWidth="1"/>
    <x:col min="14" max="14" width="18" hidden="0" customWidth="1"/>
    <x:col min="15" max="15" width="32" hidden="0" customWidth="1"/>
    <x:col min="16" max="16" width="29" hidden="0" customWidth="1"/>
    <x:col min="17" max="17" width="2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5" customHeight="1">
      <x:c r="A2" s="2" t="str">
        <x:v>Equipo por capacidad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0" customHeight="1">
      <x:c r="A3" s="3" t="str">
        <x:v>Amarillo: completar. Los nombres de antecedentes no equivalen a una designación aceptada.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40" customHeight="1">
      <x:c r="A5" s="8" t="str">
        <x:v>ID</x:v>
      </x:c>
      <x:c r="B5" s="8" t="str">
        <x:v>Capacidad B1</x:v>
      </x:c>
      <x:c r="C5" s="8" t="str">
        <x:v>Bloque</x:v>
      </x:c>
      <x:c r="D5" s="8" t="str">
        <x:v>Dueño propuesto (función)</x:v>
      </x:c>
      <x:c r="E5" s="8" t="str">
        <x:v>Interlocutor de antecedentes</x:v>
      </x:c>
      <x:c r="F5" s="8" t="str">
        <x:v>Titular confirmado</x:v>
      </x:c>
      <x:c r="G5" s="8" t="str">
        <x:v>Suplente confirmado</x:v>
      </x:c>
      <x:c r="H5" s="8" t="str">
        <x:v>Jefatura que libera tiempo</x:v>
      </x:c>
      <x:c r="I5" s="8" t="str">
        <x:v>h titular/semana</x:v>
      </x:c>
      <x:c r="J5" s="8" t="str">
        <x:v>h suplente/semana</x:v>
      </x:c>
      <x:c r="K5" s="8" t="str">
        <x:v>Ventanas de agenda</x:v>
      </x:c>
      <x:c r="L5" s="8" t="str">
        <x:v>Compromiso</x:v>
      </x:c>
      <x:c r="M5" s="8" t="str">
        <x:v>Acepta jefatura</x:v>
      </x:c>
      <x:c r="N5" s="8" t="str">
        <x:v>Fecha aceptación</x:v>
      </x:c>
      <x:c r="O5" s="8" t="str">
        <x:v>Preparación del equipo</x:v>
      </x:c>
      <x:c r="P5" s="8" t="str">
        <x:v>Dueño nominal confirmado</x:v>
      </x:c>
      <x:c r="Q5" s="8" t="str">
        <x:v>Aceptación del dueño</x:v>
      </x:c>
    </x:row>
    <x:row r="6" ht="35" customHeight="1">
      <x:c r="A6" s="11" t="str">
        <x:v>M01</x:v>
      </x:c>
      <x:c r="B6" s="11" t="str">
        <x:v>Catálogo y maestros</x:v>
      </x:c>
      <x:c r="C6" s="11" t="str">
        <x:v>B1</x:v>
      </x:c>
      <x:c r="D6" s="11" t="str">
        <x:v>Dueño de Datos Maestros</x:v>
      </x:c>
      <x:c r="E6" s="11" t="str">
        <x:v>Guillermo Alvez (Auditoría); designar Administración de Datos Maestros</x:v>
      </x:c>
      <x:c r="F6" s="13" t="str"/>
      <x:c r="G6" s="13" t="str"/>
      <x:c r="H6" s="13" t="str"/>
      <x:c r="I6" s="15"/>
      <x:c r="J6" s="15"/>
      <x:c r="K6" s="13" t="str"/>
      <x:c r="L6" s="13" t="str">
        <x:v>Sin confirmar</x:v>
      </x:c>
      <x:c r="M6" s="13" t="str"/>
      <x:c r="N6" s="14"/>
      <x:c r="O6" s="11" t="str">
        <x:f>IF(C6&lt;&gt;"B1","Fuera de B1",IF(AND(F6&lt;&gt;"",G6&lt;&gt;"",H6&lt;&gt;"",ISNUMBER(I6),I6&gt;0,ISNUMBER(J6),J6&gt;0,K6&lt;&gt;"",L6="Confirmado",M6&lt;&gt;"",ISNUMBER(N6),P6&lt;&gt;"",Q6="Confirmado"),"Equipo confirmado","Falta compromiso nominal"))</x:f>
        <x:v>Falta compromiso nominal</x:v>
      </x:c>
      <x:c r="P6" s="13" t="str"/>
      <x:c r="Q6" s="13" t="str">
        <x:v>Sin confirmar</x:v>
      </x:c>
    </x:row>
    <x:row r="7" ht="35" customHeight="1">
      <x:c r="A7" s="12" t="str">
        <x:v>M02</x:v>
      </x:c>
      <x:c r="B7" s="12" t="str">
        <x:v>Surtido, clusters y segmentos</x:v>
      </x:c>
      <x:c r="C7" s="12" t="str">
        <x:v>B1</x:v>
      </x:c>
      <x:c r="D7" s="12" t="str">
        <x:v>Dueño de Surtido</x:v>
      </x:c>
      <x:c r="E7" s="12" t="str">
        <x:v>Liliana D'Amico (sugerida por antecedentes)</x:v>
      </x:c>
      <x:c r="F7" s="13" t="str"/>
      <x:c r="G7" s="13" t="str"/>
      <x:c r="H7" s="13" t="str"/>
      <x:c r="I7" s="15"/>
      <x:c r="J7" s="15"/>
      <x:c r="K7" s="13" t="str"/>
      <x:c r="L7" s="13" t="str">
        <x:v>Sin confirmar</x:v>
      </x:c>
      <x:c r="M7" s="13" t="str"/>
      <x:c r="N7" s="14"/>
      <x:c r="O7" s="12" t="str">
        <x:f>IF(C7&lt;&gt;"B1","Fuera de B1",IF(AND(F7&lt;&gt;"",G7&lt;&gt;"",H7&lt;&gt;"",ISNUMBER(I7),I7&gt;0,ISNUMBER(J7),J7&gt;0,K7&lt;&gt;"",L7="Confirmado",M7&lt;&gt;"",ISNUMBER(N7),P7&lt;&gt;"",Q7="Confirmado"),"Equipo confirmado","Falta compromiso nominal"))</x:f>
        <x:v>Falta compromiso nominal</x:v>
      </x:c>
      <x:c r="P7" s="13" t="str"/>
      <x:c r="Q7" s="13" t="str">
        <x:v>Sin confirmar</x:v>
      </x:c>
    </x:row>
    <x:row r="8" ht="35" customHeight="1">
      <x:c r="A8" s="11" t="str">
        <x:v>M03</x:v>
      </x:c>
      <x:c r="B8" s="11" t="str">
        <x:v>Listas y acuerdos comerciales de compra</x:v>
      </x:c>
      <x:c r="C8" s="11" t="str">
        <x:v>B1</x:v>
      </x:c>
      <x:c r="D8" s="11" t="str">
        <x:v>Dueño de Compras</x:v>
      </x:c>
      <x:c r="E8" s="11" t="str">
        <x:v>Sebastián Basconcelos (según minuta 13/10; confirmar designación)</x:v>
      </x:c>
      <x:c r="F8" s="13" t="str"/>
      <x:c r="G8" s="13" t="str"/>
      <x:c r="H8" s="13" t="str"/>
      <x:c r="I8" s="15"/>
      <x:c r="J8" s="15"/>
      <x:c r="K8" s="13" t="str"/>
      <x:c r="L8" s="13" t="str">
        <x:v>Sin confirmar</x:v>
      </x:c>
      <x:c r="M8" s="13" t="str"/>
      <x:c r="N8" s="14"/>
      <x:c r="O8" s="11" t="str">
        <x:f>IF(C8&lt;&gt;"B1","Fuera de B1",IF(AND(F8&lt;&gt;"",G8&lt;&gt;"",H8&lt;&gt;"",ISNUMBER(I8),I8&gt;0,ISNUMBER(J8),J8&gt;0,K8&lt;&gt;"",L8="Confirmado",M8&lt;&gt;"",ISNUMBER(N8),P8&lt;&gt;"",Q8="Confirmado"),"Equipo confirmado","Falta compromiso nominal"))</x:f>
        <x:v>Falta compromiso nominal</x:v>
      </x:c>
      <x:c r="P8" s="13" t="str"/>
      <x:c r="Q8" s="13" t="str">
        <x:v>Sin confirmar</x:v>
      </x:c>
    </x:row>
    <x:row r="9" ht="35" customHeight="1">
      <x:c r="A9" s="12" t="str">
        <x:v>M04</x:v>
      </x:c>
      <x:c r="B9" s="12" t="str">
        <x:v>Forecast y compra inteligente/directa</x:v>
      </x:c>
      <x:c r="C9" s="12" t="str">
        <x:v>B1</x:v>
      </x:c>
      <x:c r="D9" s="12" t="str">
        <x:v>Dueño de Abastecimiento</x:v>
      </x:c>
      <x:c r="E9" s="12" t="str">
        <x:v>Romina Garfi (sugerida por antecedentes)</x:v>
      </x:c>
      <x:c r="F9" s="13" t="str"/>
      <x:c r="G9" s="13" t="str"/>
      <x:c r="H9" s="13" t="str"/>
      <x:c r="I9" s="15"/>
      <x:c r="J9" s="15"/>
      <x:c r="K9" s="13" t="str"/>
      <x:c r="L9" s="13" t="str">
        <x:v>Sin confirmar</x:v>
      </x:c>
      <x:c r="M9" s="13" t="str"/>
      <x:c r="N9" s="14"/>
      <x:c r="O9" s="12" t="str">
        <x:f>IF(C9&lt;&gt;"B1","Fuera de B1",IF(AND(F9&lt;&gt;"",G9&lt;&gt;"",H9&lt;&gt;"",ISNUMBER(I9),I9&gt;0,ISNUMBER(J9),J9&gt;0,K9&lt;&gt;"",L9="Confirmado",M9&lt;&gt;"",ISNUMBER(N9),P9&lt;&gt;"",Q9="Confirmado"),"Equipo confirmado","Falta compromiso nominal"))</x:f>
        <x:v>Falta compromiso nominal</x:v>
      </x:c>
      <x:c r="P9" s="13" t="str"/>
      <x:c r="Q9" s="13" t="str">
        <x:v>Sin confirmar</x:v>
      </x:c>
    </x:row>
    <x:row r="10" ht="35" customHeight="1">
      <x:c r="A10" s="11" t="str">
        <x:v>M05</x:v>
      </x:c>
      <x:c r="B10" s="11" t="str">
        <x:v>Órdenes de compra e integración SGM</x:v>
      </x:c>
      <x:c r="C10" s="11" t="str">
        <x:v>B1</x:v>
      </x:c>
      <x:c r="D10" s="11" t="str">
        <x:v>Dueño de Compras</x:v>
      </x:c>
      <x:c r="E10" s="11" t="str">
        <x:v>Romina Garfi (sugerida por antecedentes)</x:v>
      </x:c>
      <x:c r="F10" s="13" t="str"/>
      <x:c r="G10" s="13" t="str"/>
      <x:c r="H10" s="13" t="str"/>
      <x:c r="I10" s="15"/>
      <x:c r="J10" s="15"/>
      <x:c r="K10" s="13" t="str"/>
      <x:c r="L10" s="13" t="str">
        <x:v>Sin confirmar</x:v>
      </x:c>
      <x:c r="M10" s="13" t="str"/>
      <x:c r="N10" s="14"/>
      <x:c r="O10" s="11" t="str">
        <x:f>IF(C10&lt;&gt;"B1","Fuera de B1",IF(AND(F10&lt;&gt;"",G10&lt;&gt;"",H10&lt;&gt;"",ISNUMBER(I10),I10&gt;0,ISNUMBER(J10),J10&gt;0,K10&lt;&gt;"",L10="Confirmado",M10&lt;&gt;"",ISNUMBER(N10),P10&lt;&gt;"",Q10="Confirmado"),"Equipo confirmado","Falta compromiso nominal"))</x:f>
        <x:v>Falta compromiso nominal</x:v>
      </x:c>
      <x:c r="P10" s="13" t="str"/>
      <x:c r="Q10" s="13" t="str">
        <x:v>Sin confirmar</x:v>
      </x:c>
    </x:row>
    <x:row r="11" ht="48.5" customHeight="1">
      <x:c r="A11" s="12" t="str">
        <x:v>M06</x:v>
      </x:c>
      <x:c r="B11" s="12" t="str">
        <x:v>Recepción en sucursal y convivencia SGM</x:v>
      </x:c>
      <x:c r="C11" s="12" t="str">
        <x:v>B1</x:v>
      </x:c>
      <x:c r="D11" s="12" t="str">
        <x:v>Dueño de Operaciones de Sucursal</x:v>
      </x:c>
      <x:c r="E11" s="12" t="str">
        <x:v>Fernando Ureña / Cecilia Camus / Javier Dafonte / Rodolfo Herlein (elegir titular)</x:v>
      </x:c>
      <x:c r="F11" s="13" t="str"/>
      <x:c r="G11" s="13" t="str"/>
      <x:c r="H11" s="13" t="str"/>
      <x:c r="I11" s="15"/>
      <x:c r="J11" s="15"/>
      <x:c r="K11" s="13" t="str"/>
      <x:c r="L11" s="13" t="str">
        <x:v>Sin confirmar</x:v>
      </x:c>
      <x:c r="M11" s="13" t="str"/>
      <x:c r="N11" s="14"/>
      <x:c r="O11" s="12" t="str">
        <x:f>IF(C11&lt;&gt;"B1","Fuera de B1",IF(AND(F11&lt;&gt;"",G11&lt;&gt;"",H11&lt;&gt;"",ISNUMBER(I11),I11&gt;0,ISNUMBER(J11),J11&gt;0,K11&lt;&gt;"",L11="Confirmado",M11&lt;&gt;"",ISNUMBER(N11),P11&lt;&gt;"",Q11="Confirmado"),"Equipo confirmado","Falta compromiso nominal"))</x:f>
        <x:v>Falta compromiso nominal</x:v>
      </x:c>
      <x:c r="P11" s="13" t="str"/>
      <x:c r="Q11" s="13" t="str">
        <x:v>Sin confirmar</x:v>
      </x:c>
    </x:row>
    <x:row r="12" ht="35" customHeight="1">
      <x:c r="A12" s="11" t="str">
        <x:v>M07</x:v>
      </x:c>
      <x:c r="B12" s="11" t="str">
        <x:v>Inventarios y ajustes</x:v>
      </x:c>
      <x:c r="C12" s="11" t="str">
        <x:v>B1</x:v>
      </x:c>
      <x:c r="D12" s="11" t="str">
        <x:v>Dueño de Control de Inventarios</x:v>
      </x:c>
      <x:c r="E12" s="11" t="str">
        <x:v>Guillermo Alvez / Auditoría (confirmar titular operativo)</x:v>
      </x:c>
      <x:c r="F12" s="13" t="str"/>
      <x:c r="G12" s="13" t="str"/>
      <x:c r="H12" s="13" t="str"/>
      <x:c r="I12" s="15"/>
      <x:c r="J12" s="15"/>
      <x:c r="K12" s="13" t="str"/>
      <x:c r="L12" s="13" t="str">
        <x:v>Sin confirmar</x:v>
      </x:c>
      <x:c r="M12" s="13" t="str"/>
      <x:c r="N12" s="14"/>
      <x:c r="O12" s="11" t="str">
        <x:f>IF(C12&lt;&gt;"B1","Fuera de B1",IF(AND(F12&lt;&gt;"",G12&lt;&gt;"",H12&lt;&gt;"",ISNUMBER(I12),I12&gt;0,ISNUMBER(J12),J12&gt;0,K12&lt;&gt;"",L12="Confirmado",M12&lt;&gt;"",ISNUMBER(N12),P12&lt;&gt;"",Q12="Confirmado"),"Equipo confirmado","Falta compromiso nominal"))</x:f>
        <x:v>Falta compromiso nominal</x:v>
      </x:c>
      <x:c r="P12" s="13" t="str"/>
      <x:c r="Q12" s="13" t="str">
        <x:v>Sin confirmar</x:v>
      </x:c>
    </x:row>
    <x:row r="13" ht="35" customHeight="1">
      <x:c r="A13" s="12" t="str">
        <x:v>M08</x:v>
      </x:c>
      <x:c r="B13" s="12" t="str">
        <x:v>PDD y necesidades de distribución</x:v>
      </x:c>
      <x:c r="C13" s="12" t="str">
        <x:v>B1</x:v>
      </x:c>
      <x:c r="D13" s="12" t="str">
        <x:v>Dueño de Planificación Logística</x:v>
      </x:c>
      <x:c r="E13" s="12" t="str">
        <x:v>Christian Rojas / Compras (separar demanda comercial de ejecución logística)</x:v>
      </x:c>
      <x:c r="F13" s="13" t="str"/>
      <x:c r="G13" s="13" t="str"/>
      <x:c r="H13" s="13" t="str"/>
      <x:c r="I13" s="15"/>
      <x:c r="J13" s="15"/>
      <x:c r="K13" s="13" t="str"/>
      <x:c r="L13" s="13" t="str">
        <x:v>Sin confirmar</x:v>
      </x:c>
      <x:c r="M13" s="13" t="str"/>
      <x:c r="N13" s="14"/>
      <x:c r="O13" s="12" t="str">
        <x:f>IF(C13&lt;&gt;"B1","Fuera de B1",IF(AND(F13&lt;&gt;"",G13&lt;&gt;"",H13&lt;&gt;"",ISNUMBER(I13),I13&gt;0,ISNUMBER(J13),J13&gt;0,K13&lt;&gt;"",L13="Confirmado",M13&lt;&gt;"",ISNUMBER(N13),P13&lt;&gt;"",Q13="Confirmado"),"Equipo confirmado","Falta compromiso nominal"))</x:f>
        <x:v>Falta compromiso nominal</x:v>
      </x:c>
      <x:c r="P13" s="13" t="str"/>
      <x:c r="Q13" s="13" t="str">
        <x:v>Sin confirmar</x:v>
      </x:c>
    </x:row>
    <x:row r="14" ht="35" customHeight="1">
      <x:c r="A14" s="11" t="str">
        <x:v>M09</x:v>
      </x:c>
      <x:c r="B14" s="11" t="str">
        <x:v>Transferencias y distribución con Valkimia</x:v>
      </x:c>
      <x:c r="C14" s="11" t="str">
        <x:v>B1</x:v>
      </x:c>
      <x:c r="D14" s="11" t="str">
        <x:v>Dueño de Distribución</x:v>
      </x:c>
      <x:c r="E14" s="11" t="str">
        <x:v>Christian Rojas / Gastón (Logística), enlace Comercial a designar</x:v>
      </x:c>
      <x:c r="F14" s="13" t="str"/>
      <x:c r="G14" s="13" t="str"/>
      <x:c r="H14" s="13" t="str"/>
      <x:c r="I14" s="15"/>
      <x:c r="J14" s="15"/>
      <x:c r="K14" s="13" t="str"/>
      <x:c r="L14" s="13" t="str">
        <x:v>Sin confirmar</x:v>
      </x:c>
      <x:c r="M14" s="13" t="str"/>
      <x:c r="N14" s="14"/>
      <x:c r="O14" s="11" t="str">
        <x:f>IF(C14&lt;&gt;"B1","Fuera de B1",IF(AND(F14&lt;&gt;"",G14&lt;&gt;"",H14&lt;&gt;"",ISNUMBER(I14),I14&gt;0,ISNUMBER(J14),J14&gt;0,K14&lt;&gt;"",L14="Confirmado",M14&lt;&gt;"",ISNUMBER(N14),P14&lt;&gt;"",Q14="Confirmado"),"Equipo confirmado","Falta compromiso nominal"))</x:f>
        <x:v>Falta compromiso nominal</x:v>
      </x:c>
      <x:c r="P14" s="13" t="str"/>
      <x:c r="Q14" s="13" t="str">
        <x:v>Sin confirmar</x:v>
      </x:c>
    </x:row>
    <x:row r="15" ht="35" customHeight="1">
      <x:c r="A15" s="12" t="str">
        <x:v>M10</x:v>
      </x:c>
      <x:c r="B15" s="12" t="str">
        <x:v>Stock, conciliación y observabilidad</x:v>
      </x:c>
      <x:c r="C15" s="12" t="str">
        <x:v>B1</x:v>
      </x:c>
      <x:c r="D15" s="12" t="str">
        <x:v>Dueño de Operación y Control de Stock</x:v>
      </x:c>
      <x:c r="E15" s="12" t="str">
        <x:v>IT + Control de Stock (designar personas)</x:v>
      </x:c>
      <x:c r="F15" s="13" t="str"/>
      <x:c r="G15" s="13" t="str"/>
      <x:c r="H15" s="13" t="str"/>
      <x:c r="I15" s="15"/>
      <x:c r="J15" s="15"/>
      <x:c r="K15" s="13" t="str"/>
      <x:c r="L15" s="13" t="str">
        <x:v>Sin confirmar</x:v>
      </x:c>
      <x:c r="M15" s="13" t="str"/>
      <x:c r="N15" s="14"/>
      <x:c r="O15" s="12" t="str">
        <x:f>IF(C15&lt;&gt;"B1","Fuera de B1",IF(AND(F15&lt;&gt;"",G15&lt;&gt;"",H15&lt;&gt;"",ISNUMBER(I15),I15&gt;0,ISNUMBER(J15),J15&gt;0,K15&lt;&gt;"",L15="Confirmado",M15&lt;&gt;"",ISNUMBER(N15),P15&lt;&gt;"",Q15="Confirmado"),"Equipo confirmado","Falta compromiso nominal"))</x:f>
        <x:v>Falta compromiso nominal</x:v>
      </x:c>
      <x:c r="P15" s="13" t="str"/>
      <x:c r="Q15" s="13" t="str">
        <x:v>Sin confirmar</x:v>
      </x:c>
    </x:row>
  </x:sheetData>
  <x:conditionalFormatting sqref="O6:O15">
    <x:cfRule type="containsText" dxfId="0" priority="1" operator="containsText" text="Falta"/>
  </x:conditionalFormatting>
  <x:dataValidations count="3">
    <x:dataValidation type="list" sqref="C6:C15">
      <x:formula1>"B1,B2,B3,Excluido"</x:formula1>
    </x:dataValidation>
    <x:dataValidation type="list" sqref="L6:L15">
      <x:formula1>"Sin confirmar,Confirmado"</x:formula1>
    </x:dataValidation>
    <x:dataValidation type="list" sqref="Q6:Q15">
      <x:formula1>"Sin confirmar,Confirmado"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2fdec824ca4f0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3" hidden="0" customWidth="1"/>
    <x:col min="2" max="2" width="19" hidden="0" customWidth="1"/>
    <x:col min="3" max="3" width="43" hidden="0" customWidth="1"/>
    <x:col min="4" max="4" width="66" hidden="0" customWidth="1"/>
    <x:col min="5" max="5" width="9" hidden="0" customWidth="1"/>
    <x:col min="6" max="6" width="9" hidden="0" customWidth="1"/>
    <x:col min="7" max="7" width="35" hidden="0" customWidth="1"/>
    <x:col min="8" max="8" width="34" hidden="0" customWidth="1"/>
    <x:col min="9" max="9" width="70" hidden="0" customWidth="1"/>
    <x:col min="10" max="10" width="20" hidden="0" customWidth="1"/>
    <x:col min="11" max="11" width="27" hidden="0" customWidth="1"/>
    <x:col min="12" max="12" width="17" hidden="0" customWidth="1"/>
    <x:col min="13" max="13" width="38" hidden="0" customWidth="1"/>
    <x:col min="14" max="14" width="27" hidden="0" customWidth="1"/>
    <x:col min="15" max="15" width="18" hidden="0" customWidth="1"/>
    <x:col min="16" max="16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5" customHeight="1">
      <x:c r="A2" s="2" t="str">
        <x:v>Plan de ejecución del Bloque 1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0" customHeight="1">
      <x:c r="A3" s="3" t="str">
        <x:v>Filtrar por módulo/oleada. Fechas propuestas, sin ejecución acreditada. G1/G2 se instancian por población seleccionada.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40" customHeight="1">
      <x:c r="A5" s="8" t="str">
        <x:v>WBS</x:v>
      </x:c>
      <x:c r="B5" s="8" t="str">
        <x:v>Módulo</x:v>
      </x:c>
      <x:c r="C5" s="8" t="str">
        <x:v>Actividad</x:v>
      </x:c>
      <x:c r="D5" s="8" t="str">
        <x:v>Entregable / acción concreta</x:v>
      </x:c>
      <x:c r="E5" s="8" t="str">
        <x:v>R</x:v>
      </x:c>
      <x:c r="F5" s="8" t="str">
        <x:v>A</x:v>
      </x:c>
      <x:c r="G5" s="8" t="str">
        <x:v>Predecesoras</x:v>
      </x:c>
      <x:c r="H5" s="8" t="str">
        <x:v>Ventana propuesta</x:v>
      </x:c>
      <x:c r="I5" s="8" t="str">
        <x:v>Criterio de cierre</x:v>
      </x:c>
      <x:c r="J5" s="8" t="str">
        <x:v>Estado</x:v>
      </x:c>
      <x:c r="K5" s="8" t="str">
        <x:v>Nombre ejecutor R</x:v>
      </x:c>
      <x:c r="L5" s="8" t="str">
        <x:v>Fecha objetivo</x:v>
      </x:c>
      <x:c r="M5" s="8" t="str">
        <x:v>Evidencia</x:v>
      </x:c>
      <x:c r="N5" s="8" t="str">
        <x:v>Aceptado por</x:v>
      </x:c>
      <x:c r="O5" s="8" t="str">
        <x:v>Fecha aceptación</x:v>
      </x:c>
      <x:c r="P5" s="8" t="str">
        <x:v>Control de cierre</x:v>
      </x:c>
    </x:row>
    <x:row r="6" ht="35" customHeight="1">
      <x:c r="A6" s="11" t="str">
        <x:v>1.01</x:v>
      </x:c>
      <x:c r="B6" s="11" t="str">
        <x:v>TRANSVERSAL</x:v>
      </x:c>
      <x:c r="C6" s="11" t="str">
        <x:v>Conciliar alcance y GAPS</x:v>
      </x:c>
      <x:c r="D6" s="11" t="str">
        <x:v>Baseline por capacidad con B1/B2/B3/pendiente, motivo y fuente</x:v>
      </x:c>
      <x:c r="E6" s="11" t="str">
        <x:v>LZ</x:v>
      </x:c>
      <x:c r="F6" s="11" t="str">
        <x:v>SP</x:v>
      </x:c>
      <x:c r="G6" s="11" t="str"/>
      <x:c r="H6" s="11" t="str">
        <x:v>Preparación / G0</x:v>
      </x:c>
      <x:c r="I6" s="11" t="str">
        <x:v>Cada capacidad tiene decisión o bloqueo explícito. No se interpreta silencio como aprobación.</x:v>
      </x:c>
      <x:c r="J6" s="13" t="str">
        <x:v>Propuesto</x:v>
      </x:c>
      <x:c r="K6" s="13" t="str"/>
      <x:c r="L6" s="14"/>
      <x:c r="M6" s="13" t="str"/>
      <x:c r="N6" s="13" t="str"/>
      <x:c r="O6" s="14"/>
      <x:c r="P6" s="11" t="str">
        <x:f>IF(J6="Cerrado",IF(AND(K6&lt;&gt;"",M6&lt;&gt;"",N6&lt;&gt;"",ISNUMBER(O6)),"Cierre documentado","Falta evidencia o aceptación"),"Pendiente")</x:f>
        <x:v>Pendiente</x:v>
      </x:c>
    </x:row>
    <x:row r="7" ht="28" customHeight="1">
      <x:c r="A7" s="12" t="str">
        <x:v>1.02</x:v>
      </x:c>
      <x:c r="B7" s="12" t="str">
        <x:v>TRANSVERSAL</x:v>
      </x:c>
      <x:c r="C7" s="12" t="str">
        <x:v>Nombrar sponsor y líder DIARCO</x:v>
      </x:c>
      <x:c r="D7" s="12" t="str">
        <x:v>Acta con nombres, facultades y suplencias</x:v>
      </x:c>
      <x:c r="E7" s="12" t="str">
        <x:v>LD</x:v>
      </x:c>
      <x:c r="F7" s="12" t="str">
        <x:v>SP</x:v>
      </x:c>
      <x:c r="G7" s="12" t="str">
        <x:v>1.01</x:v>
      </x:c>
      <x:c r="H7" s="12" t="str">
        <x:v>Lunes 02/11 propuesto</x:v>
      </x:c>
      <x:c r="I7" s="12" t="str">
        <x:v>Designaciones aceptadas por personas y jefaturas.</x:v>
      </x:c>
      <x:c r="J7" s="13" t="str">
        <x:v>Propuesto</x:v>
      </x:c>
      <x:c r="K7" s="13" t="str"/>
      <x:c r="L7" s="14"/>
      <x:c r="M7" s="13" t="str"/>
      <x:c r="N7" s="13" t="str"/>
      <x:c r="O7" s="14"/>
      <x:c r="P7" s="12" t="str">
        <x:f>IF(J7="Cerrado",IF(AND(K7&lt;&gt;"",M7&lt;&gt;"",N7&lt;&gt;"",ISNUMBER(O7)),"Cierre documentado","Falta evidencia o aceptación"),"Pendiente")</x:f>
        <x:v>Pendiente</x:v>
      </x:c>
    </x:row>
    <x:row r="8" ht="35" customHeight="1">
      <x:c r="A8" s="11" t="str">
        <x:v>1.03</x:v>
      </x:c>
      <x:c r="B8" s="11" t="str">
        <x:v>TRANSVERSAL</x:v>
      </x:c>
      <x:c r="C8" s="11" t="str">
        <x:v>Asignar titulares y suplentes por módulo</x:v>
      </x:c>
      <x:c r="D8" s="11" t="str">
        <x:v>Fichas nominales y tiempo protegido</x:v>
      </x:c>
      <x:c r="E8" s="11" t="str">
        <x:v>LD</x:v>
      </x:c>
      <x:c r="F8" s="11" t="str">
        <x:v>SP</x:v>
      </x:c>
      <x:c r="G8" s="11" t="str">
        <x:v>1.02</x:v>
      </x:c>
      <x:c r="H8" s="11" t="str">
        <x:v>Lunes 02/11 propuesto</x:v>
      </x:c>
      <x:c r="I8" s="11" t="str">
        <x:v>Cada módulo B1 tiene dueño, referente, suplente y horas autorizadas.</x:v>
      </x:c>
      <x:c r="J8" s="13" t="str">
        <x:v>Propuesto</x:v>
      </x:c>
      <x:c r="K8" s="13" t="str"/>
      <x:c r="L8" s="14"/>
      <x:c r="M8" s="13" t="str"/>
      <x:c r="N8" s="13" t="str"/>
      <x:c r="O8" s="14"/>
      <x:c r="P8" s="11" t="str">
        <x:f>IF(J8="Cerrado",IF(AND(K8&lt;&gt;"",M8&lt;&gt;"",N8&lt;&gt;"",ISNUMBER(O8)),"Cierre documentado","Falta evidencia o aceptación"),"Pendiente")</x:f>
        <x:v>Pendiente</x:v>
      </x:c>
    </x:row>
    <x:row r="9" ht="28" customHeight="1">
      <x:c r="A9" s="12" t="str">
        <x:v>1.04</x:v>
      </x:c>
      <x:c r="B9" s="12" t="str">
        <x:v>TRANSVERSAL</x:v>
      </x:c>
      <x:c r="C9" s="12" t="str">
        <x:v>Incorporar mesa de ayuda, IT y terceros</x:v>
      </x:c>
      <x:c r="D9" s="12" t="str">
        <x:v>Mapa de servicios, contactos, horario y escalamiento</x:v>
      </x:c>
      <x:c r="E9" s="12" t="str">
        <x:v>LD</x:v>
      </x:c>
      <x:c r="F9" s="12" t="str">
        <x:v>SP</x:v>
      </x:c>
      <x:c r="G9" s="12" t="str">
        <x:v>1.02</x:v>
      </x:c>
      <x:c r="H9" s="12" t="str">
        <x:v>Semana 1</x:v>
      </x:c>
      <x:c r="I9" s="12" t="str">
        <x:v>Responsables y suplentes aceptan cobertura y simulacro.</x:v>
      </x:c>
      <x:c r="J9" s="13" t="str">
        <x:v>Propuesto</x:v>
      </x:c>
      <x:c r="K9" s="13" t="str"/>
      <x:c r="L9" s="14"/>
      <x:c r="M9" s="13" t="str"/>
      <x:c r="N9" s="13" t="str"/>
      <x:c r="O9" s="14"/>
      <x:c r="P9" s="12" t="str">
        <x:f>IF(J9="Cerrado",IF(AND(K9&lt;&gt;"",M9&lt;&gt;"",N9&lt;&gt;"",ISNUMBER(O9)),"Cierre documentado","Falta evidencia o aceptación"),"Pendiente")</x:f>
        <x:v>Pendiente</x:v>
      </x:c>
    </x:row>
    <x:row r="10" ht="35" customHeight="1">
      <x:c r="A10" s="11" t="str">
        <x:v>1.05</x:v>
      </x:c>
      <x:c r="B10" s="11" t="str">
        <x:v>TRANSVERSAL</x:v>
      </x:c>
      <x:c r="C10" s="11" t="str">
        <x:v>Definir piloto, volumen y calendario</x:v>
      </x:c>
      <x:c r="D10" s="11" t="str">
        <x:v>Lista de usuarios/sitios/proveedores/casos, duración y exclusiones</x:v>
      </x:c>
      <x:c r="E10" s="11" t="str">
        <x:v>LD</x:v>
      </x:c>
      <x:c r="F10" s="11" t="str">
        <x:v>SP</x:v>
      </x:c>
      <x:c r="G10" s="11" t="str">
        <x:v>1.01;1.03;1.04</x:v>
      </x:c>
      <x:c r="H10" s="11" t="str">
        <x:v>Semana 1</x:v>
      </x:c>
      <x:c r="I10" s="11" t="str">
        <x:v>Población, cobertura de excepciones y fechas acordadas con capacidad disponible.</x:v>
      </x:c>
      <x:c r="J10" s="13" t="str">
        <x:v>Propuesto</x:v>
      </x:c>
      <x:c r="K10" s="13" t="str"/>
      <x:c r="L10" s="14"/>
      <x:c r="M10" s="13" t="str"/>
      <x:c r="N10" s="13" t="str"/>
      <x:c r="O10" s="14"/>
      <x:c r="P10" s="11" t="str">
        <x:f>IF(J10="Cerrado",IF(AND(K10&lt;&gt;"",M10&lt;&gt;"",N10&lt;&gt;"",ISNUMBER(O10)),"Cierre documentado","Falta evidencia o aceptación"),"Pendiente")</x:f>
        <x:v>Pendiente</x:v>
      </x:c>
    </x:row>
    <x:row r="11" ht="35" customHeight="1">
      <x:c r="A11" s="12" t="str">
        <x:v>1.06</x:v>
      </x:c>
      <x:c r="B11" s="12" t="str">
        <x:v>TRANSVERSAL</x:v>
      </x:c>
      <x:c r="C11" s="12" t="str">
        <x:v>Aprobar reglas de gobierno y G0</x:v>
      </x:c>
      <x:c r="D11" s="12" t="str">
        <x:v>Acta de inicio y decisiones abiertas</x:v>
      </x:c>
      <x:c r="E11" s="12" t="str">
        <x:v>LD</x:v>
      </x:c>
      <x:c r="F11" s="12" t="str">
        <x:v>SP</x:v>
      </x:c>
      <x:c r="G11" s="12" t="str">
        <x:v>1.01;1.02;1.03;1.04;1.05</x:v>
      </x:c>
      <x:c r="H11" s="12" t="str">
        <x:v>Semana 1 / G0</x:v>
      </x:c>
      <x:c r="I11" s="12" t="str">
        <x:v>Alcance, personas, capacidad, piloto y canal de decisiones registrados.</x:v>
      </x:c>
      <x:c r="J11" s="13" t="str">
        <x:v>Propuesto</x:v>
      </x:c>
      <x:c r="K11" s="13" t="str"/>
      <x:c r="L11" s="14"/>
      <x:c r="M11" s="13" t="str"/>
      <x:c r="N11" s="13" t="str"/>
      <x:c r="O11" s="14"/>
      <x:c r="P11" s="12" t="str">
        <x:f>IF(J11="Cerrado",IF(AND(K11&lt;&gt;"",M11&lt;&gt;"",N11&lt;&gt;"",ISNUMBER(O11)),"Cierre documentado","Falta evidencia o aceptación"),"Pendiente")</x:f>
        <x:v>Pendiente</x:v>
      </x:c>
    </x:row>
    <x:row r="12" ht="28" customHeight="1">
      <x:c r="A12" s="11" t="str">
        <x:v>2.01</x:v>
      </x:c>
      <x:c r="B12" s="11" t="str">
        <x:v>TRANSVERSAL</x:v>
      </x:c>
      <x:c r="C12" s="11" t="str">
        <x:v>Relevar proceso actual y futuro</x:v>
      </x:c>
      <x:c r="D12" s="11" t="str">
        <x:v>Mapa extremo a extremo con cambios por rol</x:v>
      </x:c>
      <x:c r="E12" s="11" t="str">
        <x:v>RF</x:v>
      </x:c>
      <x:c r="F12" s="11" t="str">
        <x:v>DP</x:v>
      </x:c>
      <x:c r="G12" s="11" t="str">
        <x:v>1.06</x:v>
      </x:c>
      <x:c r="H12" s="11" t="str">
        <x:v>Antes de cada módulo</x:v>
      </x:c>
      <x:c r="I12" s="11" t="str">
        <x:v>Cada actividad, control y excepción tiene dueño.</x:v>
      </x:c>
      <x:c r="J12" s="13" t="str">
        <x:v>Propuesto</x:v>
      </x:c>
      <x:c r="K12" s="13" t="str"/>
      <x:c r="L12" s="14"/>
      <x:c r="M12" s="13" t="str"/>
      <x:c r="N12" s="13" t="str"/>
      <x:c r="O12" s="14"/>
      <x:c r="P12" s="11" t="str">
        <x:f>IF(J12="Cerrado",IF(AND(K12&lt;&gt;"",M12&lt;&gt;"",N12&lt;&gt;"",ISNUMBER(O12)),"Cierre documentado","Falta evidencia o aceptación"),"Pendiente")</x:f>
        <x:v>Pendiente</x:v>
      </x:c>
    </x:row>
    <x:row r="13" ht="35" customHeight="1">
      <x:c r="A13" s="12" t="str">
        <x:v>2.02</x:v>
      </x:c>
      <x:c r="B13" s="12" t="str">
        <x:v>TRANSVERSAL</x:v>
      </x:c>
      <x:c r="C13" s="12" t="str">
        <x:v>Acordar maestría y convivencia SGM</x:v>
      </x:c>
      <x:c r="D13" s="12" t="str">
        <x:v>Matriz entidad/operación/sistema autorizado por etapa</x:v>
      </x:c>
      <x:c r="E13" s="12" t="str">
        <x:v>IT</x:v>
      </x:c>
      <x:c r="F13" s="12" t="str">
        <x:v>DP</x:v>
      </x:c>
      <x:c r="G13" s="12" t="str">
        <x:v>2.01</x:v>
      </x:c>
      <x:c r="H13" s="12" t="str">
        <x:v>Antes de cada módulo</x:v>
      </x:c>
      <x:c r="I13" s="12" t="str">
        <x:v>Un solo escritor autorizado por entidad y etapa. Emisor al proveedor definido.</x:v>
      </x:c>
      <x:c r="J13" s="13" t="str">
        <x:v>Propuesto</x:v>
      </x:c>
      <x:c r="K13" s="13" t="str"/>
      <x:c r="L13" s="14"/>
      <x:c r="M13" s="13" t="str"/>
      <x:c r="N13" s="13" t="str"/>
      <x:c r="O13" s="14"/>
      <x:c r="P13" s="12" t="str">
        <x:f>IF(J13="Cerrado",IF(AND(K13&lt;&gt;"",M13&lt;&gt;"",N13&lt;&gt;"",ISNUMBER(O13)),"Cierre documentado","Falta evidencia o aceptación"),"Pendiente")</x:f>
        <x:v>Pendiente</x:v>
      </x:c>
    </x:row>
    <x:row r="14" ht="28" customHeight="1">
      <x:c r="A14" s="11" t="str">
        <x:v>2.03</x:v>
      </x:c>
      <x:c r="B14" s="11" t="str">
        <x:v>TRANSVERSAL</x:v>
      </x:c>
      <x:c r="C14" s="11" t="str">
        <x:v>Preparar ambientes, roles y accesos</x:v>
      </x:c>
      <x:c r="D14" s="11" t="str">
        <x:v>Accesos probados con segregación y versión identificada</x:v>
      </x:c>
      <x:c r="E14" s="11" t="str">
        <x:v>IT</x:v>
      </x:c>
      <x:c r="F14" s="11" t="str">
        <x:v>IT</x:v>
      </x:c>
      <x:c r="G14" s="11" t="str">
        <x:v>1.06</x:v>
      </x:c>
      <x:c r="H14" s="11" t="str">
        <x:v>Semana 1 y antes de cada prueba</x:v>
      </x:c>
      <x:c r="I14" s="11" t="str">
        <x:v>Usuarios entran y permisos positivos/negativos funcionan.</x:v>
      </x:c>
      <x:c r="J14" s="13" t="str">
        <x:v>Propuesto</x:v>
      </x:c>
      <x:c r="K14" s="13" t="str"/>
      <x:c r="L14" s="14"/>
      <x:c r="M14" s="13" t="str"/>
      <x:c r="N14" s="13" t="str"/>
      <x:c r="O14" s="14"/>
      <x:c r="P14" s="11" t="str">
        <x:f>IF(J14="Cerrado",IF(AND(K14&lt;&gt;"",M14&lt;&gt;"",N14&lt;&gt;"",ISNUMBER(O14)),"Cierre documentado","Falta evidencia o aceptación"),"Pendiente")</x:f>
        <x:v>Pendiente</x:v>
      </x:c>
    </x:row>
    <x:row r="15" ht="35" customHeight="1">
      <x:c r="A15" s="12" t="str">
        <x:v>2.04</x:v>
      </x:c>
      <x:c r="B15" s="12" t="str">
        <x:v>TRANSVERSAL</x:v>
      </x:c>
      <x:c r="C15" s="12" t="str">
        <x:v>Fijar datos y resultados esperados</x:v>
      </x:c>
      <x:c r="D15" s="12" t="str">
        <x:v>Dataset versionado y casos dorados aprobados</x:v>
      </x:c>
      <x:c r="E15" s="12" t="str">
        <x:v>RF</x:v>
      </x:c>
      <x:c r="F15" s="12" t="str">
        <x:v>DP</x:v>
      </x:c>
      <x:c r="G15" s="12" t="str">
        <x:v>2.01;2.02;2.03</x:v>
      </x:c>
      <x:c r="H15" s="12" t="str">
        <x:v>Antes de UAT</x:v>
      </x:c>
      <x:c r="I15" s="12" t="str">
        <x:v>Cantidad/valor/regla esperados definidos por negocio, no sólo por el sistema.</x:v>
      </x:c>
      <x:c r="J15" s="13" t="str">
        <x:v>Propuesto</x:v>
      </x:c>
      <x:c r="K15" s="13" t="str"/>
      <x:c r="L15" s="14"/>
      <x:c r="M15" s="13" t="str"/>
      <x:c r="N15" s="13" t="str"/>
      <x:c r="O15" s="14"/>
      <x:c r="P15" s="12" t="str">
        <x:f>IF(J15="Cerrado",IF(AND(K15&lt;&gt;"",M15&lt;&gt;"",N15&lt;&gt;"",ISNUMBER(O15)),"Cierre documentado","Falta evidencia o aceptación"),"Pendiente")</x:f>
        <x:v>Pendiente</x:v>
      </x:c>
    </x:row>
    <x:row r="16" ht="35" customHeight="1">
      <x:c r="A16" s="11" t="str">
        <x:v>2.05</x:v>
      </x:c>
      <x:c r="B16" s="11" t="str">
        <x:v>TRANSVERSAL</x:v>
      </x:c>
      <x:c r="C16" s="11" t="str">
        <x:v>Configurar trazabilidad de pruebas y tickets</x:v>
      </x:c>
      <x:c r="D16" s="11" t="str">
        <x:v>Repositorio, IDs y enlaces comunes</x:v>
      </x:c>
      <x:c r="E16" s="11" t="str">
        <x:v>LZ</x:v>
      </x:c>
      <x:c r="F16" s="11" t="str">
        <x:v>LZ</x:v>
      </x:c>
      <x:c r="G16" s="11" t="str">
        <x:v>1.06</x:v>
      </x:c>
      <x:c r="H16" s="11" t="str">
        <x:v>Semana 1</x:v>
      </x:c>
      <x:c r="I16" s="11" t="str">
        <x:v>Un GAP se vincula a WBS, caso, defecto, evidencia y decisión.</x:v>
      </x:c>
      <x:c r="J16" s="13" t="str">
        <x:v>Propuesto</x:v>
      </x:c>
      <x:c r="K16" s="13" t="str"/>
      <x:c r="L16" s="14"/>
      <x:c r="M16" s="13" t="str"/>
      <x:c r="N16" s="13" t="str"/>
      <x:c r="O16" s="14"/>
      <x:c r="P16" s="11" t="str">
        <x:f>IF(J16="Cerrado",IF(AND(K16&lt;&gt;"",M16&lt;&gt;"",N16&lt;&gt;"",ISNUMBER(O16)),"Cierre documentado","Falta evidencia o aceptación"),"Pendiente")</x:f>
        <x:v>Pendiente</x:v>
      </x:c>
    </x:row>
    <x:row r="17" ht="35" customHeight="1">
      <x:c r="A17" s="12" t="str">
        <x:v>2.06</x:v>
      </x:c>
      <x:c r="B17" s="12" t="str">
        <x:v>TRANSVERSAL</x:v>
      </x:c>
      <x:c r="C17" s="12" t="str">
        <x:v>Acordar contingencia y recuperación</x:v>
      </x:c>
      <x:c r="D17" s="12" t="str">
        <x:v>Runbook de corte/retorno y conciliación documental</x:v>
      </x:c>
      <x:c r="E17" s="12" t="str">
        <x:v>IT</x:v>
      </x:c>
      <x:c r="F17" s="12" t="str">
        <x:v>IT</x:v>
      </x:c>
      <x:c r="G17" s="12" t="str">
        <x:v>2.02;2.03</x:v>
      </x:c>
      <x:c r="H17" s="12" t="str">
        <x:v>Antes del piloto</x:v>
      </x:c>
      <x:c r="I17" s="12" t="str">
        <x:v>Procedimiento practicable sin duplicar operaciones ni borrar historia.</x:v>
      </x:c>
      <x:c r="J17" s="13" t="str">
        <x:v>Propuesto</x:v>
      </x:c>
      <x:c r="K17" s="13" t="str"/>
      <x:c r="L17" s="14"/>
      <x:c r="M17" s="13" t="str"/>
      <x:c r="N17" s="13" t="str"/>
      <x:c r="O17" s="14"/>
      <x:c r="P17" s="12" t="str">
        <x:f>IF(J17="Cerrado",IF(AND(K17&lt;&gt;"",M17&lt;&gt;"",N17&lt;&gt;"",ISNUMBER(O17)),"Cierre documentado","Falta evidencia o aceptación"),"Pendiente")</x:f>
        <x:v>Pendiente</x:v>
      </x:c>
    </x:row>
    <x:row r="18" ht="35" customHeight="1">
      <x:c r="A18" s="11" t="str">
        <x:v>2.07</x:v>
      </x:c>
      <x:c r="B18" s="11" t="str">
        <x:v>TRANSVERSAL</x:v>
      </x:c>
      <x:c r="C18" s="11" t="str">
        <x:v>Acordar cobertura y objetivos de soporte</x:v>
      </x:c>
      <x:c r="D18" s="11" t="str">
        <x:v>Acuerdo horario, prioridades y objetivos de atención</x:v>
      </x:c>
      <x:c r="E18" s="11" t="str">
        <x:v>MD</x:v>
      </x:c>
      <x:c r="F18" s="11" t="str">
        <x:v>SP</x:v>
      </x:c>
      <x:c r="G18" s="11" t="str">
        <x:v>1.04</x:v>
      </x:c>
      <x:c r="H18" s="11" t="str">
        <x:v>Antes del piloto</x:v>
      </x:c>
      <x:c r="I18" s="11" t="str">
        <x:v>DIARCO y Zeetrex validan ventanas, contactos y objetivos. No hay SLA implícito.</x:v>
      </x:c>
      <x:c r="J18" s="13" t="str">
        <x:v>Propuesto</x:v>
      </x:c>
      <x:c r="K18" s="13" t="str"/>
      <x:c r="L18" s="14"/>
      <x:c r="M18" s="13" t="str"/>
      <x:c r="N18" s="13" t="str"/>
      <x:c r="O18" s="14"/>
      <x:c r="P18" s="11" t="str">
        <x:f>IF(J18="Cerrado",IF(AND(K18&lt;&gt;"",M18&lt;&gt;"",N18&lt;&gt;"",ISNUMBER(O18)),"Cierre documentado","Falta evidencia o aceptación"),"Pendiente")</x:f>
        <x:v>Pendiente</x:v>
      </x:c>
    </x:row>
    <x:row r="19" ht="35" customHeight="1">
      <x:c r="A19" s="12" t="str">
        <x:v>2.08</x:v>
      </x:c>
      <x:c r="B19" s="12" t="str">
        <x:v>TRANSVERSAL</x:v>
      </x:c>
      <x:c r="C19" s="12" t="str">
        <x:v>Preparar módulos productivos para paralelo 04/11</x:v>
      </x:c>
      <x:c r="D19" s="12" t="str">
        <x:v>Versión, ambiente, accesos y controles de efectos externos</x:v>
      </x:c>
      <x:c r="E19" s="12" t="str">
        <x:v>ZT</x:v>
      </x:c>
      <x:c r="F19" s="12" t="str">
        <x:v>LZ</x:v>
      </x:c>
      <x:c r="G19" s="12" t="str">
        <x:v>2.02;2.03;2.05;2.06</x:v>
      </x:c>
      <x:c r="H19" s="12" t="str">
        <x:v>Objetivo 04/11</x:v>
      </x:c>
      <x:c r="I19" s="12" t="str">
        <x:v>Lista explícita de módulos habilitados. SGM válido. Emisor único y permisos de prueba controlados.</x:v>
      </x:c>
      <x:c r="J19" s="13" t="str">
        <x:v>Propuesto</x:v>
      </x:c>
      <x:c r="K19" s="13" t="str"/>
      <x:c r="L19" s="14"/>
      <x:c r="M19" s="13" t="str"/>
      <x:c r="N19" s="13" t="str"/>
      <x:c r="O19" s="14"/>
      <x:c r="P19" s="12" t="str">
        <x:f>IF(J19="Cerrado",IF(AND(K19&lt;&gt;"",M19&lt;&gt;"",N19&lt;&gt;"",ISNUMBER(O19)),"Cierre documentado","Falta evidencia o aceptación"),"Pendiente")</x:f>
        <x:v>Pendiente</x:v>
      </x:c>
    </x:row>
    <x:row r="20" ht="35" customHeight="1">
      <x:c r="A20" s="11" t="str">
        <x:v>2.09</x:v>
      </x:c>
      <x:c r="B20" s="11" t="str">
        <x:v>TRANSVERSAL</x:v>
      </x:c>
      <x:c r="C20" s="11" t="str">
        <x:v>Ejecutar smoke de flujo de trabajo</x:v>
      </x:c>
      <x:c r="D20" s="11" t="str">
        <x:v>Evidencia de acceso, navegación, dato, cálculo y acuse del flujo mínimo</x:v>
      </x:c>
      <x:c r="E20" s="11" t="str">
        <x:v>RF</x:v>
      </x:c>
      <x:c r="F20" s="11" t="str">
        <x:v>DP</x:v>
      </x:c>
      <x:c r="G20" s="11" t="str">
        <x:v>2.08</x:v>
      </x:c>
      <x:c r="H20" s="11" t="str">
        <x:v>Desde 04/11 antes de cada paralelo</x:v>
      </x:c>
      <x:c r="I20" s="11" t="str">
        <x:v>Flujo mínimo pasa sin duplicar efectos ni envíos. Si falla, no abrir ese circuito al paralelo.</x:v>
      </x:c>
      <x:c r="J20" s="13" t="str">
        <x:v>Propuesto</x:v>
      </x:c>
      <x:c r="K20" s="13" t="str"/>
      <x:c r="L20" s="14"/>
      <x:c r="M20" s="13" t="str"/>
      <x:c r="N20" s="13" t="str"/>
      <x:c r="O20" s="14"/>
      <x:c r="P20" s="11" t="str">
        <x:f>IF(J20="Cerrado",IF(AND(K20&lt;&gt;"",M20&lt;&gt;"",N20&lt;&gt;"",ISNUMBER(O20)),"Cierre documentado","Falta evidencia o aceptación"),"Pendiente")</x:f>
        <x:v>Pendiente</x:v>
      </x:c>
    </x:row>
    <x:row r="21" ht="35" customHeight="1">
      <x:c r="A21" s="12" t="str">
        <x:v>2.10</x:v>
      </x:c>
      <x:c r="B21" s="12" t="str">
        <x:v>M05</x:v>
      </x:c>
      <x:c r="C21" s="12" t="str">
        <x:v>Comparar OC valorizada Connexa vs DIARCO/SGM</x:v>
      </x:c>
      <x:c r="D21" s="12" t="str">
        <x:v>Matriz campo a campo, cálculo esperado y diferencias con causa</x:v>
      </x:c>
      <x:c r="E21" s="12" t="str">
        <x:v>RF</x:v>
      </x:c>
      <x:c r="F21" s="12" t="str">
        <x:v>DP</x:v>
      </x:c>
      <x:c r="G21" s="12" t="str">
        <x:v>2.09;3.05.04</x:v>
      </x:c>
      <x:c r="H21" s="12" t="str">
        <x:v>Desde 04/11, cada ciclo</x:v>
      </x:c>
      <x:c r="I21" s="12" t="str">
        <x:v>Identificadores vinculados, cantidades y componentes conciliados. Desvíos fuera de tolerancia bloquean aceptación.</x:v>
      </x:c>
      <x:c r="J21" s="13" t="str">
        <x:v>Propuesto</x:v>
      </x:c>
      <x:c r="K21" s="13" t="str"/>
      <x:c r="L21" s="14"/>
      <x:c r="M21" s="13" t="str"/>
      <x:c r="N21" s="13" t="str"/>
      <x:c r="O21" s="14"/>
      <x:c r="P21" s="12" t="str">
        <x:f>IF(J21="Cerrado",IF(AND(K21&lt;&gt;"",M21&lt;&gt;"",N21&lt;&gt;"",ISNUMBER(O21)),"Cierre documentado","Falta evidencia o aceptación"),"Pendiente")</x:f>
        <x:v>Pendiente</x:v>
      </x:c>
    </x:row>
    <x:row r="22" ht="35" customHeight="1">
      <x:c r="A22" s="11" t="str">
        <x:v>2.11</x:v>
      </x:c>
      <x:c r="B22" s="11" t="str">
        <x:v>TRANSVERSAL</x:v>
      </x:c>
      <x:c r="C22" s="11" t="str">
        <x:v>Decidir aceptación progresiva del paralelo</x:v>
      </x:c>
      <x:c r="D22" s="11" t="str">
        <x:v>Acta por módulo/población/versión, pendientes y decisión de continuar</x:v>
      </x:c>
      <x:c r="E22" s="11" t="str">
        <x:v>RF</x:v>
      </x:c>
      <x:c r="F22" s="11" t="str">
        <x:v>DP</x:v>
      </x:c>
      <x:c r="G22" s="11" t="str">
        <x:v>2.09</x:v>
      </x:c>
      <x:c r="H22" s="11" t="str">
        <x:v>Desde 04/11 al cumplir criterios</x:v>
      </x:c>
      <x:c r="I22" s="11" t="str">
        <x:v>Casos críticos y ciclos requeridos completos. Firmas/evidencias. No cambia autoridad SGM por sí sola.</x:v>
      </x:c>
      <x:c r="J22" s="13" t="str">
        <x:v>Propuesto</x:v>
      </x:c>
      <x:c r="K22" s="13" t="str"/>
      <x:c r="L22" s="14"/>
      <x:c r="M22" s="13" t="str"/>
      <x:c r="N22" s="13" t="str"/>
      <x:c r="O22" s="14"/>
      <x:c r="P22" s="11" t="str">
        <x:f>IF(J22="Cerrado",IF(AND(K22&lt;&gt;"",M22&lt;&gt;"",N22&lt;&gt;"",ISNUMBER(O22)),"Cierre documentado","Falta evidencia o aceptación"),"Pendiente")</x:f>
        <x:v>Pendiente</x:v>
      </x:c>
    </x:row>
    <x:row r="23" ht="35" customHeight="1">
      <x:c r="A23" s="12" t="str">
        <x:v>2.12</x:v>
      </x:c>
      <x:c r="B23" s="12" t="str">
        <x:v>M06</x:v>
      </x:c>
      <x:c r="C23" s="12" t="str">
        <x:v>Confirmar AP, Wi-Fi y PDA por sucursal piloto</x:v>
      </x:c>
      <x:c r="D23" s="12" t="str">
        <x:v>Inventario de equipos, red probada y responsable de disponibilidad</x:v>
      </x:c>
      <x:c r="E23" s="12" t="str">
        <x:v>IT</x:v>
      </x:c>
      <x:c r="F23" s="12" t="str">
        <x:v>IT</x:v>
      </x:c>
      <x:c r="G23" s="12" t="str">
        <x:v>1.05;2.03</x:v>
      </x:c>
      <x:c r="H23" s="12" t="str">
        <x:v>Antes del paralelo PDA</x:v>
      </x:c>
      <x:c r="I23" s="12" t="str">
        <x:v>Recepción con lectura y comunicación probadas. Contacto histórico Jorge Borjas a confirmar, proveedor e Infra coordinados.</x:v>
      </x:c>
      <x:c r="J23" s="13" t="str">
        <x:v>Propuesto</x:v>
      </x:c>
      <x:c r="K23" s="13" t="str"/>
      <x:c r="L23" s="14"/>
      <x:c r="M23" s="13" t="str"/>
      <x:c r="N23" s="13" t="str"/>
      <x:c r="O23" s="14"/>
      <x:c r="P23" s="12" t="str">
        <x:f>IF(J23="Cerrado",IF(AND(K23&lt;&gt;"",M23&lt;&gt;"",N23&lt;&gt;"",ISNUMBER(O23)),"Cierre documentado","Falta evidencia o aceptación"),"Pendiente")</x:f>
        <x:v>Pendiente</x:v>
      </x:c>
    </x:row>
    <x:row r="24" ht="35" customHeight="1">
      <x:c r="A24" s="11" t="str">
        <x:v>2.13</x:v>
      </x:c>
      <x:c r="B24" s="11" t="str">
        <x:v>M09</x:v>
      </x:c>
      <x:c r="C24" s="11" t="str">
        <x:v>Verificar devolución Valkimia y elegir API/Excel</x:v>
      </x:c>
      <x:c r="D24" s="11" t="str">
        <x:v>Contrato mínimo/plantilla validada, plazo y responsable externo</x:v>
      </x:c>
      <x:c r="E24" s="11" t="str">
        <x:v>LZ</x:v>
      </x:c>
      <x:c r="F24" s="11" t="str">
        <x:v>LZ</x:v>
      </x:c>
      <x:c r="G24" s="11" t="str">
        <x:v>1.04;2.02</x:v>
      </x:c>
      <x:c r="H24" s="11" t="str">
        <x:v>Antes del paralelo de distribución</x:v>
      </x:c>
      <x:c r="I24" s="11" t="str">
        <x:v>No se presume cumplido el compromiso 27/10. Alternativa elegida y prueba de ida/retorno con CD/VKM.</x:v>
      </x:c>
      <x:c r="J24" s="13" t="str">
        <x:v>Propuesto</x:v>
      </x:c>
      <x:c r="K24" s="13" t="str"/>
      <x:c r="L24" s="14"/>
      <x:c r="M24" s="13" t="str"/>
      <x:c r="N24" s="13" t="str"/>
      <x:c r="O24" s="14"/>
      <x:c r="P24" s="11" t="str">
        <x:f>IF(J24="Cerrado",IF(AND(K24&lt;&gt;"",M24&lt;&gt;"",N24&lt;&gt;"",ISNUMBER(O24)),"Cierre documentado","Falta evidencia o aceptación"),"Pendiente")</x:f>
        <x:v>Pendiente</x:v>
      </x:c>
    </x:row>
    <x:row r="25" ht="35" customHeight="1">
      <x:c r="A25" s="12" t="str">
        <x:v>2.14</x:v>
      </x:c>
      <x:c r="B25" s="12" t="str">
        <x:v>M05</x:v>
      </x:c>
      <x:c r="C25" s="12" t="str">
        <x:v>Validar OC madre, hija y aprobación única</x:v>
      </x:c>
      <x:c r="D25" s="12" t="str">
        <x:v>Caso PDA y política de vigencia/saldo con evidencia</x:v>
      </x:c>
      <x:c r="E25" s="12" t="str">
        <x:v>RF</x:v>
      </x:c>
      <x:c r="F25" s="12" t="str">
        <x:v>DP</x:v>
      </x:c>
      <x:c r="G25" s="12" t="str">
        <x:v>2.04;3.05.04;2.12</x:v>
      </x:c>
      <x:c r="H25" s="12" t="str">
        <x:v>Durante paralelo del circuito</x:v>
      </x:c>
      <x:c r="I25" s="12" t="str">
        <x:v>Cantidades, valorización y pendientes conciliados. Sin reaprobar en SGM ni duplicar documento.</x:v>
      </x:c>
      <x:c r="J25" s="13" t="str">
        <x:v>Propuesto</x:v>
      </x:c>
      <x:c r="K25" s="13" t="str"/>
      <x:c r="L25" s="14"/>
      <x:c r="M25" s="13" t="str"/>
      <x:c r="N25" s="13" t="str"/>
      <x:c r="O25" s="14"/>
      <x:c r="P25" s="12" t="str">
        <x:f>IF(J25="Cerrado",IF(AND(K25&lt;&gt;"",M25&lt;&gt;"",N25&lt;&gt;"",ISNUMBER(O25)),"Cierre documentado","Falta evidencia o aceptación"),"Pendiente")</x:f>
        <x:v>Pendiente</x:v>
      </x:c>
    </x:row>
    <x:row r="26" ht="35" customHeight="1">
      <x:c r="A26" s="11" t="str">
        <x:v>2.15</x:v>
      </x:c>
      <x:c r="B26" s="11" t="str">
        <x:v>M06</x:v>
      </x:c>
      <x:c r="C26" s="11" t="str">
        <x:v>Acreditar recuperación y cierre de movimientos en SGM</x:v>
      </x:c>
      <x:c r="D26" s="11" t="str">
        <x:v>Evidencia de autorización, procesamiento, remito y numeración</x:v>
      </x:c>
      <x:c r="E26" s="11" t="str">
        <x:v>ZT</x:v>
      </x:c>
      <x:c r="F26" s="11" t="str">
        <x:v>LZ</x:v>
      </x:c>
      <x:c r="G26" s="11" t="str">
        <x:v>2.03;2.05</x:v>
      </x:c>
      <x:c r="H26" s="11" t="str">
        <x:v>Antes del paralelo de recepción/ajustes</x:v>
      </x:c>
      <x:c r="I26" s="11" t="str">
        <x:v>Operaciones completas en SGM, no sólo registros en tabla. Bloqueos nominales y siguiente acción.</x:v>
      </x:c>
      <x:c r="J26" s="13" t="str">
        <x:v>Propuesto</x:v>
      </x:c>
      <x:c r="K26" s="13" t="str"/>
      <x:c r="L26" s="14"/>
      <x:c r="M26" s="13" t="str"/>
      <x:c r="N26" s="13" t="str"/>
      <x:c r="O26" s="14"/>
      <x:c r="P26" s="11" t="str">
        <x:f>IF(J26="Cerrado",IF(AND(K26&lt;&gt;"",M26&lt;&gt;"",N26&lt;&gt;"",ISNUMBER(O26)),"Cierre documentado","Falta evidencia o aceptación"),"Pendiente")</x:f>
        <x:v>Pendiente</x:v>
      </x:c>
    </x:row>
    <x:row r="27" ht="35" customHeight="1">
      <x:c r="A27" s="12" t="str">
        <x:v>2.16</x:v>
      </x:c>
      <x:c r="B27" s="12" t="str">
        <x:v>M07</x:v>
      </x:c>
      <x:c r="C27" s="12" t="str">
        <x:v>Certificar base y salida de inventario</x:v>
      </x:c>
      <x:c r="D27" s="12" t="str">
        <x:v>Stock inicial, movimientos pendientes, mapa/QR y aplicación en SGM</x:v>
      </x:c>
      <x:c r="E27" s="12" t="str">
        <x:v>RF</x:v>
      </x:c>
      <x:c r="F27" s="12" t="str">
        <x:v>DP</x:v>
      </x:c>
      <x:c r="G27" s="12" t="str">
        <x:v>2.04;2.12</x:v>
      </x:c>
      <x:c r="H27" s="12" t="str">
        <x:v>Antes del inventario piloto</x:v>
      </x:c>
      <x:c r="I27" s="12" t="str">
        <x:v>Fuente oficial y corte documentados. Diferencias no se atribuyen a merma sin revisar integridad de registros.</x:v>
      </x:c>
      <x:c r="J27" s="13" t="str">
        <x:v>Propuesto</x:v>
      </x:c>
      <x:c r="K27" s="13" t="str"/>
      <x:c r="L27" s="14"/>
      <x:c r="M27" s="13" t="str"/>
      <x:c r="N27" s="13" t="str"/>
      <x:c r="O27" s="14"/>
      <x:c r="P27" s="12" t="str">
        <x:f>IF(J27="Cerrado",IF(AND(K27&lt;&gt;"",M27&lt;&gt;"",N27&lt;&gt;"",ISNUMBER(O27)),"Cierre documentado","Falta evidencia o aceptación"),"Pendiente")</x:f>
        <x:v>Pendiente</x:v>
      </x:c>
    </x:row>
    <x:row r="28" ht="35" customHeight="1">
      <x:c r="A28" s="11" t="str">
        <x:v>2.17</x:v>
      </x:c>
      <x:c r="B28" s="11" t="str">
        <x:v>M10</x:v>
      </x:c>
      <x:c r="C28" s="11" t="str">
        <x:v>Confirmar sincronización y coordinación de cargas</x:v>
      </x:c>
      <x:c r="D28" s="11" t="str">
        <x:v>Evidencia de OC/transferencias/pendientes actualizados, sin pisar datos</x:v>
      </x:c>
      <x:c r="E28" s="11" t="str">
        <x:v>IT</x:v>
      </x:c>
      <x:c r="F28" s="11" t="str">
        <x:v>IT</x:v>
      </x:c>
      <x:c r="G28" s="11" t="str">
        <x:v>2.02;2.03</x:v>
      </x:c>
      <x:c r="H28" s="11" t="str">
        <x:v>Antes del paralelo de cada consumidor</x:v>
      </x:c>
      <x:c r="I28" s="11" t="str">
        <x:v>Conectividad/túnel probado y secuencia de CDC/cargas acordada. Tener servidor disponible no acredita interfaz.</x:v>
      </x:c>
      <x:c r="J28" s="13" t="str">
        <x:v>Propuesto</x:v>
      </x:c>
      <x:c r="K28" s="13" t="str"/>
      <x:c r="L28" s="14"/>
      <x:c r="M28" s="13" t="str"/>
      <x:c r="N28" s="13" t="str"/>
      <x:c r="O28" s="14"/>
      <x:c r="P28" s="11" t="str">
        <x:f>IF(J28="Cerrado",IF(AND(K28&lt;&gt;"",M28&lt;&gt;"",N28&lt;&gt;"",ISNUMBER(O28)),"Cierre documentado","Falta evidencia o aceptación"),"Pendiente")</x:f>
        <x:v>Pendiente</x:v>
      </x:c>
    </x:row>
    <x:row r="29" ht="35" customHeight="1">
      <x:c r="A29" s="12" t="str">
        <x:v>2.18</x:v>
      </x:c>
      <x:c r="B29" s="12" t="str">
        <x:v>M02</x:v>
      </x:c>
      <x:c r="C29" s="12" t="str">
        <x:v>Validar categoría piloto y propuesta de surtido</x:v>
      </x:c>
      <x:c r="D29" s="12" t="str">
        <x:v>Simulación con Liliana y resolución de clasificaciones nulas</x:v>
      </x:c>
      <x:c r="E29" s="12" t="str">
        <x:v>RF</x:v>
      </x:c>
      <x:c r="F29" s="12" t="str">
        <x:v>DP</x:v>
      </x:c>
      <x:c r="G29" s="12" t="str">
        <x:v>3.02.02</x:v>
      </x:c>
      <x:c r="H29" s="12" t="str">
        <x:v>Antes de aceptar surtido de primera oleada</x:v>
      </x:c>
      <x:c r="I29" s="12" t="str">
        <x:v>Reglas y segmentos aprobados sobre datos reales. No imponer seis segmentos sin acuerdo.</x:v>
      </x:c>
      <x:c r="J29" s="13" t="str">
        <x:v>Propuesto</x:v>
      </x:c>
      <x:c r="K29" s="13" t="str"/>
      <x:c r="L29" s="14"/>
      <x:c r="M29" s="13" t="str"/>
      <x:c r="N29" s="13" t="str"/>
      <x:c r="O29" s="14"/>
      <x:c r="P29" s="12" t="str">
        <x:f>IF(J29="Cerrado",IF(AND(K29&lt;&gt;"",M29&lt;&gt;"",N29&lt;&gt;"",ISNUMBER(O29)),"Cierre documentado","Falta evidencia o aceptación"),"Pendiente")</x:f>
        <x:v>Pendiente</x:v>
      </x:c>
    </x:row>
    <x:row r="30" ht="35" customHeight="1">
      <x:c r="A30" s="11" t="str">
        <x:v>2.19</x:v>
      </x:c>
      <x:c r="B30" s="11" t="str">
        <x:v>M01</x:v>
      </x:c>
      <x:c r="C30" s="11" t="str">
        <x:v>Definir función Datos Maestros y separación de control</x:v>
      </x:c>
      <x:c r="D30" s="11" t="str">
        <x:v>RACI de solicitante/administrador/auditor/comercial y workflow de cambios</x:v>
      </x:c>
      <x:c r="E30" s="11" t="str">
        <x:v>LD</x:v>
      </x:c>
      <x:c r="F30" s="11" t="str">
        <x:v>DP</x:v>
      </x:c>
      <x:c r="G30" s="11" t="str">
        <x:v>2.01</x:v>
      </x:c>
      <x:c r="H30" s="11" t="str">
        <x:v>Antes de originar maestros en Connexa</x:v>
      </x:c>
      <x:c r="I30" s="11" t="str">
        <x:v>Función operativa y control con personas/tiempo definidos. Auditoría no asume automáticamente administración cotidiana.</x:v>
      </x:c>
      <x:c r="J30" s="13" t="str">
        <x:v>Propuesto</x:v>
      </x:c>
      <x:c r="K30" s="13" t="str"/>
      <x:c r="L30" s="14"/>
      <x:c r="M30" s="13" t="str"/>
      <x:c r="N30" s="13" t="str"/>
      <x:c r="O30" s="14"/>
      <x:c r="P30" s="11" t="str">
        <x:f>IF(J30="Cerrado",IF(AND(K30&lt;&gt;"",M30&lt;&gt;"",N30&lt;&gt;"",ISNUMBER(O30)),"Cierre documentado","Falta evidencia o aceptación"),"Pendiente")</x:f>
        <x:v>Pendiente</x:v>
      </x:c>
    </x:row>
    <x:row r="31" ht="35" customHeight="1">
      <x:c r="A31" s="12" t="str">
        <x:v>3.01.01</x:v>
      </x:c>
      <x:c r="B31" s="12" t="str">
        <x:v>M01</x:v>
      </x:c>
      <x:c r="C31" s="12" t="str">
        <x:v>Preparar casos y datos del módulo</x:v>
      </x:c>
      <x:c r="D31" s="12" t="str">
        <x:v>Inventariar altas, cambios y bajas con casos reales y excepciones de DIARCO.</x:v>
      </x:c>
      <x:c r="E31" s="12" t="str">
        <x:v>RF</x:v>
      </x:c>
      <x:c r="F31" s="12" t="str">
        <x:v>DP</x:v>
      </x:c>
      <x:c r="G31" s="12" t="str">
        <x:v>2.04;2.05</x:v>
      </x:c>
      <x:c r="H31" s="12" t="str">
        <x:v>Preparar antes del paralelo de ese módulo</x:v>
      </x:c>
      <x:c r="I31" s="12" t="str">
        <x:v>Casos representativos con entrada, esperado y responsable de dato.</x:v>
      </x:c>
      <x:c r="J31" s="13" t="str">
        <x:v>Propuesto</x:v>
      </x:c>
      <x:c r="K31" s="13" t="str"/>
      <x:c r="L31" s="14"/>
      <x:c r="M31" s="13" t="str"/>
      <x:c r="N31" s="13" t="str"/>
      <x:c r="O31" s="14"/>
      <x:c r="P31" s="12" t="str">
        <x:f>IF(J31="Cerrado",IF(AND(K31&lt;&gt;"",M31&lt;&gt;"",N31&lt;&gt;"",ISNUMBER(O31)),"Cierre documentado","Falta evidencia o aceptación"),"Pendiente")</x:f>
        <x:v>Pendiente</x:v>
      </x:c>
    </x:row>
    <x:row r="32" ht="35" customHeight="1">
      <x:c r="A32" s="11" t="str">
        <x:v>3.01.02</x:v>
      </x:c>
      <x:c r="B32" s="11" t="str">
        <x:v>M01</x:v>
      </x:c>
      <x:c r="C32" s="11" t="str">
        <x:v>Validar reglas y configuración</x:v>
      </x:c>
      <x:c r="D32" s="11" t="str">
        <x:v>Conciliar una muestra acordada de artículos, EAN y proveedor contra la fuente autorizada.</x:v>
      </x:c>
      <x:c r="E32" s="11" t="str">
        <x:v>RF</x:v>
      </x:c>
      <x:c r="F32" s="11" t="str">
        <x:v>DP</x:v>
      </x:c>
      <x:c r="G32" s="11" t="str">
        <x:v>3.01.01</x:v>
      </x:c>
      <x:c r="H32" s="11" t="str">
        <x:v>Preparar antes del paralelo de ese módulo</x:v>
      </x:c>
      <x:c r="I32" s="11" t="str">
        <x:v>Reglas aprobadas, configuración versionada y diferencias clasificadas.</x:v>
      </x:c>
      <x:c r="J32" s="13" t="str">
        <x:v>Propuesto</x:v>
      </x:c>
      <x:c r="K32" s="13" t="str"/>
      <x:c r="L32" s="14"/>
      <x:c r="M32" s="13" t="str"/>
      <x:c r="N32" s="13" t="str"/>
      <x:c r="O32" s="14"/>
      <x:c r="P32" s="11" t="str">
        <x:f>IF(J32="Cerrado",IF(AND(K32&lt;&gt;"",M32&lt;&gt;"",N32&lt;&gt;"",ISNUMBER(O32)),"Cierre documentado","Falta evidencia o aceptación"),"Pendiente")</x:f>
        <x:v>Pendiente</x:v>
      </x:c>
    </x:row>
    <x:row r="33" ht="35" customHeight="1">
      <x:c r="A33" s="12" t="str">
        <x:v>3.01.03</x:v>
      </x:c>
      <x:c r="B33" s="12" t="str">
        <x:v>M01</x:v>
      </x:c>
      <x:c r="C33" s="12" t="str">
        <x:v>Formar titular y suplente</x:v>
      </x:c>
      <x:c r="D33" s="12" t="str">
        <x:v>Identificadores, unidad/bulto, estados, permisos, sentido de sincronización y prevención de duplicados.</x:v>
      </x:c>
      <x:c r="E33" s="12" t="str">
        <x:v>ZF</x:v>
      </x:c>
      <x:c r="F33" s="12" t="str">
        <x:v>LZ</x:v>
      </x:c>
      <x:c r="G33" s="12" t="str">
        <x:v>3.01.02</x:v>
      </x:c>
      <x:c r="H33" s="12" t="str">
        <x:v>Preparar antes del paralelo de ese módulo</x:v>
      </x:c>
      <x:c r="I33" s="12" t="str">
        <x:v>Titular y suplente completan demostración y práctica individual.</x:v>
      </x:c>
      <x:c r="J33" s="13" t="str">
        <x:v>Propuesto</x:v>
      </x:c>
      <x:c r="K33" s="13" t="str"/>
      <x:c r="L33" s="14"/>
      <x:c r="M33" s="13" t="str"/>
      <x:c r="N33" s="13" t="str"/>
      <x:c r="O33" s="14"/>
      <x:c r="P33" s="12" t="str">
        <x:f>IF(J33="Cerrado",IF(AND(K33&lt;&gt;"",M33&lt;&gt;"",N33&lt;&gt;"",ISNUMBER(O33)),"Cierre documentado","Falta evidencia o aceptación"),"Pendiente")</x:f>
        <x:v>Pendiente</x:v>
      </x:c>
    </x:row>
    <x:row r="34" ht="35" customHeight="1">
      <x:c r="A34" s="11" t="str">
        <x:v>3.01.04</x:v>
      </x:c>
      <x:c r="B34" s="11" t="str">
        <x:v>M01</x:v>
      </x:c>
      <x:c r="C34" s="11" t="str">
        <x:v>Ejecutar UAT y excepciones</x:v>
      </x:c>
      <x:c r="D34" s="11" t="str">
        <x:v>Definir quién modifica cada dato y cuándo se replica a SGM.</x:v>
      </x:c>
      <x:c r="E34" s="11" t="str">
        <x:v>RF</x:v>
      </x:c>
      <x:c r="F34" s="11" t="str">
        <x:v>DP</x:v>
      </x:c>
      <x:c r="G34" s="11" t="str">
        <x:v>3.01.03</x:v>
      </x:c>
      <x:c r="H34" s="11" t="str">
        <x:v>Preparar antes del paralelo de ese módulo</x:v>
      </x:c>
      <x:c r="I34" s="11" t="str">
        <x:v>Casos críticos pasan. Defectos y evidencia por ejecución. Reprueba después de correcciones.</x:v>
      </x:c>
      <x:c r="J34" s="13" t="str">
        <x:v>Propuesto</x:v>
      </x:c>
      <x:c r="K34" s="13" t="str"/>
      <x:c r="L34" s="14"/>
      <x:c r="M34" s="13" t="str"/>
      <x:c r="N34" s="13" t="str"/>
      <x:c r="O34" s="14"/>
      <x:c r="P34" s="11" t="str">
        <x:f>IF(J34="Cerrado",IF(AND(K34&lt;&gt;"",M34&lt;&gt;"",N34&lt;&gt;"",ISNUMBER(O34)),"Cierre documentado","Falta evidencia o aceptación"),"Pendiente")</x:f>
        <x:v>Pendiente</x:v>
      </x:c>
    </x:row>
    <x:row r="35" ht="48.5" customHeight="1">
      <x:c r="A35" s="12" t="str">
        <x:v>3.01.05</x:v>
      </x:c>
      <x:c r="B35" s="12" t="str">
        <x:v>M01</x:v>
      </x:c>
      <x:c r="C35" s="12" t="str">
        <x:v>Aceptar UAT y preparación del módulo</x:v>
      </x:c>
      <x:c r="D35" s="12" t="str">
        <x:v>Muestra con identidad y campos críticos conciliados. Cambios autorizados auditables. Duplicados rechazados sin pérdida del dato válido.</x:v>
      </x:c>
      <x:c r="E35" s="12" t="str">
        <x:v>RF</x:v>
      </x:c>
      <x:c r="F35" s="12" t="str">
        <x:v>DP</x:v>
      </x:c>
      <x:c r="G35" s="12" t="str">
        <x:v>3.01.04;2.19</x:v>
      </x:c>
      <x:c r="H35" s="12" t="str">
        <x:v>Preparar antes del paralelo de ese módulo</x:v>
      </x:c>
      <x:c r="I35" s="12" t="str">
        <x:v>Dueño acepta versión y evidencia. Sin defectos críticos/altos abiertos del circuito.</x:v>
      </x:c>
      <x:c r="J35" s="13" t="str">
        <x:v>Propuesto</x:v>
      </x:c>
      <x:c r="K35" s="13" t="str"/>
      <x:c r="L35" s="14"/>
      <x:c r="M35" s="13" t="str"/>
      <x:c r="N35" s="13" t="str"/>
      <x:c r="O35" s="14"/>
      <x:c r="P35" s="12" t="str">
        <x:f>IF(J35="Cerrado",IF(AND(K35&lt;&gt;"",M35&lt;&gt;"",N35&lt;&gt;"",ISNUMBER(O35)),"Cierre documentado","Falta evidencia o aceptación"),"Pendiente")</x:f>
        <x:v>Pendiente</x:v>
      </x:c>
    </x:row>
    <x:row r="36" ht="35" customHeight="1">
      <x:c r="A36" s="11" t="str">
        <x:v>3.01.06</x:v>
      </x:c>
      <x:c r="B36" s="11" t="str">
        <x:v>M01</x:v>
      </x:c>
      <x:c r="C36" s="11" t="str">
        <x:v>Ejecutar paralelo controlado y piloto</x:v>
      </x:c>
      <x:c r="D36" s="11" t="str">
        <x:v>Ejecutar alta/cambio/baja autorizados y validar su resultado en ambos extremos.</x:v>
      </x:c>
      <x:c r="E36" s="11" t="str">
        <x:v>RF</x:v>
      </x:c>
      <x:c r="F36" s="11" t="str">
        <x:v>DP</x:v>
      </x:c>
      <x:c r="G36" s="11" t="str">
        <x:v>3.01.05;2.06;2.07;2.09</x:v>
      </x:c>
      <x:c r="H36" s="11" t="str">
        <x:v>Desde 04/11, por módulo preparado</x:v>
      </x:c>
      <x:c r="I36" s="11" t="str">
        <x:v>Smoke aprobado. Ciclos y excepción acordados. DIARCO/SGM conserva validez. Comparación y diferencias documentadas.</x:v>
      </x:c>
      <x:c r="J36" s="13" t="str">
        <x:v>Propuesto</x:v>
      </x:c>
      <x:c r="K36" s="13" t="str"/>
      <x:c r="L36" s="14"/>
      <x:c r="M36" s="13" t="str"/>
      <x:c r="N36" s="13" t="str"/>
      <x:c r="O36" s="14"/>
      <x:c r="P36" s="11" t="str">
        <x:f>IF(J36="Cerrado",IF(AND(K36&lt;&gt;"",M36&lt;&gt;"",N36&lt;&gt;"",ISNUMBER(O36)),"Cierre documentado","Falta evidencia o aceptación"),"Pendiente")</x:f>
        <x:v>Pendiente</x:v>
      </x:c>
    </x:row>
    <x:row r="37" ht="35" customHeight="1">
      <x:c r="A37" s="12" t="str">
        <x:v>3.01.07</x:v>
      </x:c>
      <x:c r="B37" s="12" t="str">
        <x:v>M01</x:v>
      </x:c>
      <x:c r="C37" s="12" t="str">
        <x:v>Transferir a usuarios y L1</x:v>
      </x:c>
      <x:c r="D37" s="12" t="str">
        <x:v>Calidad y aprobación del dato de negocio, tratamiento de excepciones y guía interna de mantenimiento.</x:v>
      </x:c>
      <x:c r="E37" s="12" t="str">
        <x:v>RF</x:v>
      </x:c>
      <x:c r="F37" s="12" t="str">
        <x:v>DP</x:v>
      </x:c>
      <x:c r="G37" s="12" t="str">
        <x:v>3.01.06</x:v>
      </x:c>
      <x:c r="H37" s="12" t="str">
        <x:v>Tras aceptación de módulo</x:v>
      </x:c>
      <x:c r="I37" s="12" t="str">
        <x:v>Usuarios demuestran tareas críticas. Mesa de ayuda y suplente resuelven un caso simulado.</x:v>
      </x:c>
      <x:c r="J37" s="13" t="str">
        <x:v>Propuesto</x:v>
      </x:c>
      <x:c r="K37" s="13" t="str"/>
      <x:c r="L37" s="14"/>
      <x:c r="M37" s="13" t="str"/>
      <x:c r="N37" s="13" t="str"/>
      <x:c r="O37" s="14"/>
      <x:c r="P37" s="12" t="str">
        <x:f>IF(J37="Cerrado",IF(AND(K37&lt;&gt;"",M37&lt;&gt;"",N37&lt;&gt;"",ISNUMBER(O37)),"Cierre documentado","Falta evidencia o aceptación"),"Pendiente")</x:f>
        <x:v>Pendiente</x:v>
      </x:c>
    </x:row>
    <x:row r="38" ht="28" customHeight="1">
      <x:c r="A38" s="11" t="str">
        <x:v>3.01.08</x:v>
      </x:c>
      <x:c r="B38" s="11" t="str">
        <x:v>M01</x:v>
      </x:c>
      <x:c r="C38" s="11" t="str">
        <x:v>Cerrar paquete y recomendar expansión</x:v>
      </x:c>
      <x:c r="D38" s="11" t="str">
        <x:v>Acta de módulo, pendientes y plan de oleada</x:v>
      </x:c>
      <x:c r="E38" s="11" t="str">
        <x:v>RF</x:v>
      </x:c>
      <x:c r="F38" s="11" t="str">
        <x:v>DP</x:v>
      </x:c>
      <x:c r="G38" s="11" t="str">
        <x:v>3.01.07</x:v>
      </x:c>
      <x:c r="H38" s="11" t="str">
        <x:v>Tras aceptación de módulo</x:v>
      </x:c>
      <x:c r="I38" s="11" t="str">
        <x:v>Evidencias completas, soporte habilitado y recomendación para G3.</x:v>
      </x:c>
      <x:c r="J38" s="13" t="str">
        <x:v>Propuesto</x:v>
      </x:c>
      <x:c r="K38" s="13" t="str"/>
      <x:c r="L38" s="14"/>
      <x:c r="M38" s="13" t="str"/>
      <x:c r="N38" s="13" t="str"/>
      <x:c r="O38" s="14"/>
      <x:c r="P38" s="11" t="str">
        <x:f>IF(J38="Cerrado",IF(AND(K38&lt;&gt;"",M38&lt;&gt;"",N38&lt;&gt;"",ISNUMBER(O38)),"Cierre documentado","Falta evidencia o aceptación"),"Pendiente")</x:f>
        <x:v>Pendiente</x:v>
      </x:c>
    </x:row>
    <x:row r="39" ht="35" customHeight="1">
      <x:c r="A39" s="12" t="str">
        <x:v>3.02.01</x:v>
      </x:c>
      <x:c r="B39" s="12" t="str">
        <x:v>M02</x:v>
      </x:c>
      <x:c r="C39" s="12" t="str">
        <x:v>Preparar casos y datos del módulo</x:v>
      </x:c>
      <x:c r="D39" s="12" t="str">
        <x:v>Preparar matriz artículo/sucursal y excepciones de Mayorista/Barrio que negocio confirme.</x:v>
      </x:c>
      <x:c r="E39" s="12" t="str">
        <x:v>RF</x:v>
      </x:c>
      <x:c r="F39" s="12" t="str">
        <x:v>DP</x:v>
      </x:c>
      <x:c r="G39" s="12" t="str">
        <x:v>2.04;2.05</x:v>
      </x:c>
      <x:c r="H39" s="12" t="str">
        <x:v>Preparar antes del paralelo de ese módulo</x:v>
      </x:c>
      <x:c r="I39" s="12" t="str">
        <x:v>Casos representativos con entrada, esperado y responsable de dato.</x:v>
      </x:c>
      <x:c r="J39" s="13" t="str">
        <x:v>Propuesto</x:v>
      </x:c>
      <x:c r="K39" s="13" t="str"/>
      <x:c r="L39" s="14"/>
      <x:c r="M39" s="13" t="str"/>
      <x:c r="N39" s="13" t="str"/>
      <x:c r="O39" s="14"/>
      <x:c r="P39" s="12" t="str">
        <x:f>IF(J39="Cerrado",IF(AND(K39&lt;&gt;"",M39&lt;&gt;"",N39&lt;&gt;"",ISNUMBER(O39)),"Cierre documentado","Falta evidencia o aceptación"),"Pendiente")</x:f>
        <x:v>Pendiente</x:v>
      </x:c>
    </x:row>
    <x:row r="40" ht="35" customHeight="1">
      <x:c r="A40" s="11" t="str">
        <x:v>3.02.02</x:v>
      </x:c>
      <x:c r="B40" s="11" t="str">
        <x:v>M02</x:v>
      </x:c>
      <x:c r="C40" s="11" t="str">
        <x:v>Validar reglas y configuración</x:v>
      </x:c>
      <x:c r="D40" s="11" t="str">
        <x:v>Validar pertenencia a cluster, segmento y vigencia.</x:v>
      </x:c>
      <x:c r="E40" s="11" t="str">
        <x:v>RF</x:v>
      </x:c>
      <x:c r="F40" s="11" t="str">
        <x:v>DP</x:v>
      </x:c>
      <x:c r="G40" s="11" t="str">
        <x:v>3.02.01</x:v>
      </x:c>
      <x:c r="H40" s="11" t="str">
        <x:v>Preparar antes del paralelo de ese módulo</x:v>
      </x:c>
      <x:c r="I40" s="11" t="str">
        <x:v>Reglas aprobadas, configuración versionada y diferencias clasificadas.</x:v>
      </x:c>
      <x:c r="J40" s="13" t="str">
        <x:v>Propuesto</x:v>
      </x:c>
      <x:c r="K40" s="13" t="str"/>
      <x:c r="L40" s="14"/>
      <x:c r="M40" s="13" t="str"/>
      <x:c r="N40" s="13" t="str"/>
      <x:c r="O40" s="14"/>
      <x:c r="P40" s="11" t="str">
        <x:f>IF(J40="Cerrado",IF(AND(K40&lt;&gt;"",M40&lt;&gt;"",N40&lt;&gt;"",ISNUMBER(O40)),"Cierre documentado","Falta evidencia o aceptación"),"Pendiente")</x:f>
        <x:v>Pendiente</x:v>
      </x:c>
    </x:row>
    <x:row r="41" ht="35" customHeight="1">
      <x:c r="A41" s="12" t="str">
        <x:v>3.02.03</x:v>
      </x:c>
      <x:c r="B41" s="12" t="str">
        <x:v>M02</x:v>
      </x:c>
      <x:c r="C41" s="12" t="str">
        <x:v>Formar titular y suplente</x:v>
      </x:c>
      <x:c r="D41" s="12" t="str">
        <x:v>Diferencias entre cluster, segmento y grupo de sucursales de compra. Herencia, vigencias y estados.</x:v>
      </x:c>
      <x:c r="E41" s="12" t="str">
        <x:v>ZF</x:v>
      </x:c>
      <x:c r="F41" s="12" t="str">
        <x:v>LZ</x:v>
      </x:c>
      <x:c r="G41" s="12" t="str">
        <x:v>3.02.02</x:v>
      </x:c>
      <x:c r="H41" s="12" t="str">
        <x:v>Preparar antes del paralelo de ese módulo</x:v>
      </x:c>
      <x:c r="I41" s="12" t="str">
        <x:v>Titular y suplente completan demostración y práctica individual.</x:v>
      </x:c>
      <x:c r="J41" s="13" t="str">
        <x:v>Propuesto</x:v>
      </x:c>
      <x:c r="K41" s="13" t="str"/>
      <x:c r="L41" s="14"/>
      <x:c r="M41" s="13" t="str"/>
      <x:c r="N41" s="13" t="str"/>
      <x:c r="O41" s="14"/>
      <x:c r="P41" s="12" t="str">
        <x:f>IF(J41="Cerrado",IF(AND(K41&lt;&gt;"",M41&lt;&gt;"",N41&lt;&gt;"",ISNUMBER(O41)),"Cierre documentado","Falta evidencia o aceptación"),"Pendiente")</x:f>
        <x:v>Pendiente</x:v>
      </x:c>
    </x:row>
    <x:row r="42" ht="35" customHeight="1">
      <x:c r="A42" s="11" t="str">
        <x:v>3.02.04</x:v>
      </x:c>
      <x:c r="B42" s="11" t="str">
        <x:v>M02</x:v>
      </x:c>
      <x:c r="C42" s="11" t="str">
        <x:v>Ejecutar UAT y excepciones</x:v>
      </x:c>
      <x:c r="D42" s="11" t="str">
        <x:v>Probar habilitación y exclusión en los consumidores incluidos.</x:v>
      </x:c>
      <x:c r="E42" s="11" t="str">
        <x:v>RF</x:v>
      </x:c>
      <x:c r="F42" s="11" t="str">
        <x:v>DP</x:v>
      </x:c>
      <x:c r="G42" s="11" t="str">
        <x:v>3.02.03</x:v>
      </x:c>
      <x:c r="H42" s="11" t="str">
        <x:v>Preparar antes del paralelo de ese módulo</x:v>
      </x:c>
      <x:c r="I42" s="11" t="str">
        <x:v>Casos críticos pasan. Defectos y evidencia por ejecución. Reprueba después de correcciones.</x:v>
      </x:c>
      <x:c r="J42" s="13" t="str">
        <x:v>Propuesto</x:v>
      </x:c>
      <x:c r="K42" s="13" t="str"/>
      <x:c r="L42" s="14"/>
      <x:c r="M42" s="13" t="str"/>
      <x:c r="N42" s="13" t="str"/>
      <x:c r="O42" s="14"/>
      <x:c r="P42" s="11" t="str">
        <x:f>IF(J42="Cerrado",IF(AND(K42&lt;&gt;"",M42&lt;&gt;"",N42&lt;&gt;"",ISNUMBER(O42)),"Cierre documentado","Falta evidencia o aceptación"),"Pendiente")</x:f>
        <x:v>Pendiente</x:v>
      </x:c>
    </x:row>
    <x:row r="43" ht="35" customHeight="1">
      <x:c r="A43" s="12" t="str">
        <x:v>3.02.05</x:v>
      </x:c>
      <x:c r="B43" s="12" t="str">
        <x:v>M02</x:v>
      </x:c>
      <x:c r="C43" s="12" t="str">
        <x:v>Aceptar UAT y preparación del módulo</x:v>
      </x:c>
      <x:c r="D43" s="12" t="str">
        <x:v>Los pares habilitados y excluidos producen exactamente el efecto acordado en cada consumidor incluido.</x:v>
      </x:c>
      <x:c r="E43" s="12" t="str">
        <x:v>RF</x:v>
      </x:c>
      <x:c r="F43" s="12" t="str">
        <x:v>DP</x:v>
      </x:c>
      <x:c r="G43" s="12" t="str">
        <x:v>3.02.04;2.18</x:v>
      </x:c>
      <x:c r="H43" s="12" t="str">
        <x:v>Preparar antes del paralelo de ese módulo</x:v>
      </x:c>
      <x:c r="I43" s="12" t="str">
        <x:v>Dueño acepta versión y evidencia. Sin defectos críticos/altos abiertos del circuito.</x:v>
      </x:c>
      <x:c r="J43" s="13" t="str">
        <x:v>Propuesto</x:v>
      </x:c>
      <x:c r="K43" s="13" t="str"/>
      <x:c r="L43" s="14"/>
      <x:c r="M43" s="13" t="str"/>
      <x:c r="N43" s="13" t="str"/>
      <x:c r="O43" s="14"/>
      <x:c r="P43" s="12" t="str">
        <x:f>IF(J43="Cerrado",IF(AND(K43&lt;&gt;"",M43&lt;&gt;"",N43&lt;&gt;"",ISNUMBER(O43)),"Cierre documentado","Falta evidencia o aceptación"),"Pendiente")</x:f>
        <x:v>Pendiente</x:v>
      </x:c>
    </x:row>
    <x:row r="44" ht="35" customHeight="1">
      <x:c r="A44" s="11" t="str">
        <x:v>3.02.06</x:v>
      </x:c>
      <x:c r="B44" s="11" t="str">
        <x:v>M02</x:v>
      </x:c>
      <x:c r="C44" s="11" t="str">
        <x:v>Ejecutar paralelo controlado y piloto</x:v>
      </x:c>
      <x:c r="D44" s="11" t="str">
        <x:v>Explicar el efecto de un cambio y acordar la aprobación de excepciones.</x:v>
      </x:c>
      <x:c r="E44" s="11" t="str">
        <x:v>RF</x:v>
      </x:c>
      <x:c r="F44" s="11" t="str">
        <x:v>DP</x:v>
      </x:c>
      <x:c r="G44" s="11" t="str">
        <x:v>3.02.05;2.06;2.07;2.09</x:v>
      </x:c>
      <x:c r="H44" s="11" t="str">
        <x:v>Desde 04/11, por módulo preparado</x:v>
      </x:c>
      <x:c r="I44" s="11" t="str">
        <x:v>Smoke aprobado. Ciclos y excepción acordados. DIARCO/SGM conserva validez. Comparación y diferencias documentadas.</x:v>
      </x:c>
      <x:c r="J44" s="13" t="str">
        <x:v>Propuesto</x:v>
      </x:c>
      <x:c r="K44" s="13" t="str"/>
      <x:c r="L44" s="14"/>
      <x:c r="M44" s="13" t="str"/>
      <x:c r="N44" s="13" t="str"/>
      <x:c r="O44" s="14"/>
      <x:c r="P44" s="11" t="str">
        <x:f>IF(J44="Cerrado",IF(AND(K44&lt;&gt;"",M44&lt;&gt;"",N44&lt;&gt;"",ISNUMBER(O44)),"Cierre documentado","Falta evidencia o aceptación"),"Pendiente")</x:f>
        <x:v>Pendiente</x:v>
      </x:c>
    </x:row>
    <x:row r="45" ht="35" customHeight="1">
      <x:c r="A45" s="12" t="str">
        <x:v>3.02.07</x:v>
      </x:c>
      <x:c r="B45" s="12" t="str">
        <x:v>M02</x:v>
      </x:c>
      <x:c r="C45" s="12" t="str">
        <x:v>Transferir a usuarios y L1</x:v>
      </x:c>
      <x:c r="D45" s="12" t="str">
        <x:v>Aprobación de reglas, resolución de conflictos de elegibilidad y comunicación a los operadores.</x:v>
      </x:c>
      <x:c r="E45" s="12" t="str">
        <x:v>RF</x:v>
      </x:c>
      <x:c r="F45" s="12" t="str">
        <x:v>DP</x:v>
      </x:c>
      <x:c r="G45" s="12" t="str">
        <x:v>3.02.06</x:v>
      </x:c>
      <x:c r="H45" s="12" t="str">
        <x:v>Tras aceptación de módulo</x:v>
      </x:c>
      <x:c r="I45" s="12" t="str">
        <x:v>Usuarios demuestran tareas críticas. Mesa de ayuda y suplente resuelven un caso simulado.</x:v>
      </x:c>
      <x:c r="J45" s="13" t="str">
        <x:v>Propuesto</x:v>
      </x:c>
      <x:c r="K45" s="13" t="str"/>
      <x:c r="L45" s="14"/>
      <x:c r="M45" s="13" t="str"/>
      <x:c r="N45" s="13" t="str"/>
      <x:c r="O45" s="14"/>
      <x:c r="P45" s="12" t="str">
        <x:f>IF(J45="Cerrado",IF(AND(K45&lt;&gt;"",M45&lt;&gt;"",N45&lt;&gt;"",ISNUMBER(O45)),"Cierre documentado","Falta evidencia o aceptación"),"Pendiente")</x:f>
        <x:v>Pendiente</x:v>
      </x:c>
    </x:row>
    <x:row r="46" ht="28" customHeight="1">
      <x:c r="A46" s="11" t="str">
        <x:v>3.02.08</x:v>
      </x:c>
      <x:c r="B46" s="11" t="str">
        <x:v>M02</x:v>
      </x:c>
      <x:c r="C46" s="11" t="str">
        <x:v>Cerrar paquete y recomendar expansión</x:v>
      </x:c>
      <x:c r="D46" s="11" t="str">
        <x:v>Acta de módulo, pendientes y plan de oleada</x:v>
      </x:c>
      <x:c r="E46" s="11" t="str">
        <x:v>RF</x:v>
      </x:c>
      <x:c r="F46" s="11" t="str">
        <x:v>DP</x:v>
      </x:c>
      <x:c r="G46" s="11" t="str">
        <x:v>3.02.07</x:v>
      </x:c>
      <x:c r="H46" s="11" t="str">
        <x:v>Tras aceptación de módulo</x:v>
      </x:c>
      <x:c r="I46" s="11" t="str">
        <x:v>Evidencias completas, soporte habilitado y recomendación para G3.</x:v>
      </x:c>
      <x:c r="J46" s="13" t="str">
        <x:v>Propuesto</x:v>
      </x:c>
      <x:c r="K46" s="13" t="str"/>
      <x:c r="L46" s="14"/>
      <x:c r="M46" s="13" t="str"/>
      <x:c r="N46" s="13" t="str"/>
      <x:c r="O46" s="14"/>
      <x:c r="P46" s="11" t="str">
        <x:f>IF(J46="Cerrado",IF(AND(K46&lt;&gt;"",M46&lt;&gt;"",N46&lt;&gt;"",ISNUMBER(O46)),"Cierre documentado","Falta evidencia o aceptación"),"Pendiente")</x:f>
        <x:v>Pendiente</x:v>
      </x:c>
    </x:row>
    <x:row r="47" ht="35" customHeight="1">
      <x:c r="A47" s="12" t="str">
        <x:v>3.03.01</x:v>
      </x:c>
      <x:c r="B47" s="12" t="str">
        <x:v>M03</x:v>
      </x:c>
      <x:c r="C47" s="12" t="str">
        <x:v>Preparar casos y datos del módulo</x:v>
      </x:c>
      <x:c r="D47" s="12" t="str">
        <x:v>Seleccionar proveedores piloto y listas reales con permisos de uso.</x:v>
      </x:c>
      <x:c r="E47" s="12" t="str">
        <x:v>RF</x:v>
      </x:c>
      <x:c r="F47" s="12" t="str">
        <x:v>DP</x:v>
      </x:c>
      <x:c r="G47" s="12" t="str">
        <x:v>2.04;2.05;3.01.02;3.02.02</x:v>
      </x:c>
      <x:c r="H47" s="12" t="str">
        <x:v>Preparar antes del paralelo de ese módulo</x:v>
      </x:c>
      <x:c r="I47" s="12" t="str">
        <x:v>Casos representativos con entrada, esperado y responsable de dato.</x:v>
      </x:c>
      <x:c r="J47" s="13" t="str">
        <x:v>Propuesto</x:v>
      </x:c>
      <x:c r="K47" s="13" t="str"/>
      <x:c r="L47" s="14"/>
      <x:c r="M47" s="13" t="str"/>
      <x:c r="N47" s="13" t="str"/>
      <x:c r="O47" s="14"/>
      <x:c r="P47" s="12" t="str">
        <x:f>IF(J47="Cerrado",IF(AND(K47&lt;&gt;"",M47&lt;&gt;"",N47&lt;&gt;"",ISNUMBER(O47)),"Cierre documentado","Falta evidencia o aceptación"),"Pendiente")</x:f>
        <x:v>Pendiente</x:v>
      </x:c>
    </x:row>
    <x:row r="48" ht="35" customHeight="1">
      <x:c r="A48" s="11" t="str">
        <x:v>3.03.02</x:v>
      </x:c>
      <x:c r="B48" s="11" t="str">
        <x:v>M03</x:v>
      </x:c>
      <x:c r="C48" s="11" t="str">
        <x:v>Validar reglas y configuración</x:v>
      </x:c>
      <x:c r="D48" s="11" t="str">
        <x:v>Preparar ejemplos de descuentos, vigencias y condiciones por sitio/grupo.</x:v>
      </x:c>
      <x:c r="E48" s="11" t="str">
        <x:v>RF</x:v>
      </x:c>
      <x:c r="F48" s="11" t="str">
        <x:v>DP</x:v>
      </x:c>
      <x:c r="G48" s="11" t="str">
        <x:v>3.03.01</x:v>
      </x:c>
      <x:c r="H48" s="11" t="str">
        <x:v>Preparar antes del paralelo de ese módulo</x:v>
      </x:c>
      <x:c r="I48" s="11" t="str">
        <x:v>Reglas aprobadas, configuración versionada y diferencias clasificadas.</x:v>
      </x:c>
      <x:c r="J48" s="13" t="str">
        <x:v>Propuesto</x:v>
      </x:c>
      <x:c r="K48" s="13" t="str"/>
      <x:c r="L48" s="14"/>
      <x:c r="M48" s="13" t="str"/>
      <x:c r="N48" s="13" t="str"/>
      <x:c r="O48" s="14"/>
      <x:c r="P48" s="11" t="str">
        <x:f>IF(J48="Cerrado",IF(AND(K48&lt;&gt;"",M48&lt;&gt;"",N48&lt;&gt;"",ISNUMBER(O48)),"Cierre documentado","Falta evidencia o aceptación"),"Pendiente")</x:f>
        <x:v>Pendiente</x:v>
      </x:c>
    </x:row>
    <x:row r="49" ht="35" customHeight="1">
      <x:c r="A49" s="12" t="str">
        <x:v>3.03.03</x:v>
      </x:c>
      <x:c r="B49" s="12" t="str">
        <x:v>M03</x:v>
      </x:c>
      <x:c r="C49" s="12" t="str">
        <x:v>Formar titular y suplente</x:v>
      </x:c>
      <x:c r="D49" s="12" t="str">
        <x:v>Precio lista, neto OC y neto estadístico. Descuentos y reglas dentro/fuera de OC. Orden de aplicación y vigencia.</x:v>
      </x:c>
      <x:c r="E49" s="12" t="str">
        <x:v>ZF</x:v>
      </x:c>
      <x:c r="F49" s="12" t="str">
        <x:v>LZ</x:v>
      </x:c>
      <x:c r="G49" s="12" t="str">
        <x:v>3.03.02</x:v>
      </x:c>
      <x:c r="H49" s="12" t="str">
        <x:v>Preparar antes del paralelo de ese módulo</x:v>
      </x:c>
      <x:c r="I49" s="12" t="str">
        <x:v>Titular y suplente completan demostración y práctica individual.</x:v>
      </x:c>
      <x:c r="J49" s="13" t="str">
        <x:v>Propuesto</x:v>
      </x:c>
      <x:c r="K49" s="13" t="str"/>
      <x:c r="L49" s="14"/>
      <x:c r="M49" s="13" t="str"/>
      <x:c r="N49" s="13" t="str"/>
      <x:c r="O49" s="14"/>
      <x:c r="P49" s="12" t="str">
        <x:f>IF(J49="Cerrado",IF(AND(K49&lt;&gt;"",M49&lt;&gt;"",N49&lt;&gt;"",ISNUMBER(O49)),"Cierre documentado","Falta evidencia o aceptación"),"Pendiente")</x:f>
        <x:v>Pendiente</x:v>
      </x:c>
    </x:row>
    <x:row r="50" ht="35" customHeight="1">
      <x:c r="A50" s="11" t="str">
        <x:v>3.03.04</x:v>
      </x:c>
      <x:c r="B50" s="11" t="str">
        <x:v>M03</x:v>
      </x:c>
      <x:c r="C50" s="11" t="str">
        <x:v>Ejecutar UAT y excepciones</x:v>
      </x:c>
      <x:c r="D50" s="11" t="str">
        <x:v>Construir con Zeetrex casos de cálculo esperados y aprobar su semántica.</x:v>
      </x:c>
      <x:c r="E50" s="11" t="str">
        <x:v>RF</x:v>
      </x:c>
      <x:c r="F50" s="11" t="str">
        <x:v>DP</x:v>
      </x:c>
      <x:c r="G50" s="11" t="str">
        <x:v>3.03.03</x:v>
      </x:c>
      <x:c r="H50" s="11" t="str">
        <x:v>Preparar antes del paralelo de ese módulo</x:v>
      </x:c>
      <x:c r="I50" s="11" t="str">
        <x:v>Casos críticos pasan. Defectos y evidencia por ejecución. Reprueba después de correcciones.</x:v>
      </x:c>
      <x:c r="J50" s="13" t="str">
        <x:v>Propuesto</x:v>
      </x:c>
      <x:c r="K50" s="13" t="str"/>
      <x:c r="L50" s="14"/>
      <x:c r="M50" s="13" t="str"/>
      <x:c r="N50" s="13" t="str"/>
      <x:c r="O50" s="14"/>
      <x:c r="P50" s="11" t="str">
        <x:f>IF(J50="Cerrado",IF(AND(K50&lt;&gt;"",M50&lt;&gt;"",N50&lt;&gt;"",ISNUMBER(O50)),"Cierre documentado","Falta evidencia o aceptación"),"Pendiente")</x:f>
        <x:v>Pendiente</x:v>
      </x:c>
    </x:row>
    <x:row r="51" ht="35" customHeight="1">
      <x:c r="A51" s="12" t="str">
        <x:v>3.03.05</x:v>
      </x:c>
      <x:c r="B51" s="12" t="str">
        <x:v>M03</x:v>
      </x:c>
      <x:c r="C51" s="12" t="str">
        <x:v>Aceptar UAT y preparación del módulo</x:v>
      </x:c>
      <x:c r="D51" s="12" t="str">
        <x:v>Casos dorados reproducibles con impuestos y redondeos aprobados por las áreas competentes, sin doble aplicación de reglas.</x:v>
      </x:c>
      <x:c r="E51" s="12" t="str">
        <x:v>RF</x:v>
      </x:c>
      <x:c r="F51" s="12" t="str">
        <x:v>DP</x:v>
      </x:c>
      <x:c r="G51" s="12" t="str">
        <x:v>3.03.04</x:v>
      </x:c>
      <x:c r="H51" s="12" t="str">
        <x:v>Preparar antes del paralelo de ese módulo</x:v>
      </x:c>
      <x:c r="I51" s="12" t="str">
        <x:v>Dueño acepta versión y evidencia. Sin defectos críticos/altos abiertos del circuito.</x:v>
      </x:c>
      <x:c r="J51" s="13" t="str">
        <x:v>Propuesto</x:v>
      </x:c>
      <x:c r="K51" s="13" t="str"/>
      <x:c r="L51" s="14"/>
      <x:c r="M51" s="13" t="str"/>
      <x:c r="N51" s="13" t="str"/>
      <x:c r="O51" s="14"/>
      <x:c r="P51" s="12" t="str">
        <x:f>IF(J51="Cerrado",IF(AND(K51&lt;&gt;"",M51&lt;&gt;"",N51&lt;&gt;"",ISNUMBER(O51)),"Cierre documentado","Falta evidencia o aceptación"),"Pendiente")</x:f>
        <x:v>Pendiente</x:v>
      </x:c>
    </x:row>
    <x:row r="52" ht="35" customHeight="1">
      <x:c r="A52" s="11" t="str">
        <x:v>3.03.06</x:v>
      </x:c>
      <x:c r="B52" s="11" t="str">
        <x:v>M03</x:v>
      </x:c>
      <x:c r="C52" s="11" t="str">
        <x:v>Ejecutar paralelo controlado y piloto</x:v>
      </x:c>
      <x:c r="D52" s="11" t="str">
        <x:v>Importar, corregir errores y validar la versión que consumen compras y OC.</x:v>
      </x:c>
      <x:c r="E52" s="11" t="str">
        <x:v>RF</x:v>
      </x:c>
      <x:c r="F52" s="11" t="str">
        <x:v>DP</x:v>
      </x:c>
      <x:c r="G52" s="11" t="str">
        <x:v>3.03.05;2.06;2.07;2.09</x:v>
      </x:c>
      <x:c r="H52" s="11" t="str">
        <x:v>Desde 04/11, por módulo preparado</x:v>
      </x:c>
      <x:c r="I52" s="11" t="str">
        <x:v>Smoke aprobado. Ciclos y excepción acordados. DIARCO/SGM conserva validez. Comparación y diferencias documentadas.</x:v>
      </x:c>
      <x:c r="J52" s="13" t="str">
        <x:v>Propuesto</x:v>
      </x:c>
      <x:c r="K52" s="13" t="str"/>
      <x:c r="L52" s="14"/>
      <x:c r="M52" s="13" t="str"/>
      <x:c r="N52" s="13" t="str"/>
      <x:c r="O52" s="14"/>
      <x:c r="P52" s="11" t="str">
        <x:f>IF(J52="Cerrado",IF(AND(K52&lt;&gt;"",M52&lt;&gt;"",N52&lt;&gt;"",ISNUMBER(O52)),"Cierre documentado","Falta evidencia o aceptación"),"Pendiente")</x:f>
        <x:v>Pendiente</x:v>
      </x:c>
    </x:row>
    <x:row r="53" ht="35" customHeight="1">
      <x:c r="A53" s="12" t="str">
        <x:v>3.03.07</x:v>
      </x:c>
      <x:c r="B53" s="12" t="str">
        <x:v>M03</x:v>
      </x:c>
      <x:c r="C53" s="12" t="str">
        <x:v>Transferir a usuarios y L1</x:v>
      </x:c>
      <x:c r="D53" s="12" t="str">
        <x:v>Veracidad de condiciones comerciales, autorización de versiones y conciliación de resultados.</x:v>
      </x:c>
      <x:c r="E53" s="12" t="str">
        <x:v>RF</x:v>
      </x:c>
      <x:c r="F53" s="12" t="str">
        <x:v>DP</x:v>
      </x:c>
      <x:c r="G53" s="12" t="str">
        <x:v>3.03.06</x:v>
      </x:c>
      <x:c r="H53" s="12" t="str">
        <x:v>Tras aceptación de módulo</x:v>
      </x:c>
      <x:c r="I53" s="12" t="str">
        <x:v>Usuarios demuestran tareas críticas. Mesa de ayuda y suplente resuelven un caso simulado.</x:v>
      </x:c>
      <x:c r="J53" s="13" t="str">
        <x:v>Propuesto</x:v>
      </x:c>
      <x:c r="K53" s="13" t="str"/>
      <x:c r="L53" s="14"/>
      <x:c r="M53" s="13" t="str"/>
      <x:c r="N53" s="13" t="str"/>
      <x:c r="O53" s="14"/>
      <x:c r="P53" s="12" t="str">
        <x:f>IF(J53="Cerrado",IF(AND(K53&lt;&gt;"",M53&lt;&gt;"",N53&lt;&gt;"",ISNUMBER(O53)),"Cierre documentado","Falta evidencia o aceptación"),"Pendiente")</x:f>
        <x:v>Pendiente</x:v>
      </x:c>
    </x:row>
    <x:row r="54" ht="28" customHeight="1">
      <x:c r="A54" s="11" t="str">
        <x:v>3.03.08</x:v>
      </x:c>
      <x:c r="B54" s="11" t="str">
        <x:v>M03</x:v>
      </x:c>
      <x:c r="C54" s="11" t="str">
        <x:v>Cerrar paquete y recomendar expansión</x:v>
      </x:c>
      <x:c r="D54" s="11" t="str">
        <x:v>Acta de módulo, pendientes y plan de oleada</x:v>
      </x:c>
      <x:c r="E54" s="11" t="str">
        <x:v>RF</x:v>
      </x:c>
      <x:c r="F54" s="11" t="str">
        <x:v>DP</x:v>
      </x:c>
      <x:c r="G54" s="11" t="str">
        <x:v>3.03.07</x:v>
      </x:c>
      <x:c r="H54" s="11" t="str">
        <x:v>Tras aceptación de módulo</x:v>
      </x:c>
      <x:c r="I54" s="11" t="str">
        <x:v>Evidencias completas, soporte habilitado y recomendación para G3.</x:v>
      </x:c>
      <x:c r="J54" s="13" t="str">
        <x:v>Propuesto</x:v>
      </x:c>
      <x:c r="K54" s="13" t="str"/>
      <x:c r="L54" s="14"/>
      <x:c r="M54" s="13" t="str"/>
      <x:c r="N54" s="13" t="str"/>
      <x:c r="O54" s="14"/>
      <x:c r="P54" s="11" t="str">
        <x:f>IF(J54="Cerrado",IF(AND(K54&lt;&gt;"",M54&lt;&gt;"",N54&lt;&gt;"",ISNUMBER(O54)),"Cierre documentado","Falta evidencia o aceptación"),"Pendiente")</x:f>
        <x:v>Pendiente</x:v>
      </x:c>
    </x:row>
    <x:row r="55" ht="35" customHeight="1">
      <x:c r="A55" s="12" t="str">
        <x:v>3.04.01</x:v>
      </x:c>
      <x:c r="B55" s="12" t="str">
        <x:v>M04</x:v>
      </x:c>
      <x:c r="C55" s="12" t="str">
        <x:v>Preparar casos y datos del módulo</x:v>
      </x:c>
      <x:c r="D55" s="12" t="str">
        <x:v>Acordar artículos, proveedores y sitios representativos de los modos de compra incluidos.</x:v>
      </x:c>
      <x:c r="E55" s="12" t="str">
        <x:v>RF</x:v>
      </x:c>
      <x:c r="F55" s="12" t="str">
        <x:v>DP</x:v>
      </x:c>
      <x:c r="G55" s="12" t="str">
        <x:v>2.04;2.05;3.03.02;3.10.02</x:v>
      </x:c>
      <x:c r="H55" s="12" t="str">
        <x:v>Preparar antes del paralelo de ese módulo</x:v>
      </x:c>
      <x:c r="I55" s="12" t="str">
        <x:v>Casos representativos con entrada, esperado y responsable de dato.</x:v>
      </x:c>
      <x:c r="J55" s="13" t="str">
        <x:v>Propuesto</x:v>
      </x:c>
      <x:c r="K55" s="13" t="str"/>
      <x:c r="L55" s="14"/>
      <x:c r="M55" s="13" t="str"/>
      <x:c r="N55" s="13" t="str"/>
      <x:c r="O55" s="14"/>
      <x:c r="P55" s="12" t="str">
        <x:f>IF(J55="Cerrado",IF(AND(K55&lt;&gt;"",M55&lt;&gt;"",N55&lt;&gt;"",ISNUMBER(O55)),"Cierre documentado","Falta evidencia o aceptación"),"Pendiente")</x:f>
        <x:v>Pendiente</x:v>
      </x:c>
    </x:row>
    <x:row r="56" ht="35" customHeight="1">
      <x:c r="A56" s="11" t="str">
        <x:v>3.04.02</x:v>
      </x:c>
      <x:c r="B56" s="11" t="str">
        <x:v>M04</x:v>
      </x:c>
      <x:c r="C56" s="11" t="str">
        <x:v>Validar reglas y configuración</x:v>
      </x:c>
      <x:c r="D56" s="11" t="str">
        <x:v>Revisar demanda, stock, pendientes y parámetros usados por el sugerido.</x:v>
      </x:c>
      <x:c r="E56" s="11" t="str">
        <x:v>RF</x:v>
      </x:c>
      <x:c r="F56" s="11" t="str">
        <x:v>DP</x:v>
      </x:c>
      <x:c r="G56" s="11" t="str">
        <x:v>3.04.01</x:v>
      </x:c>
      <x:c r="H56" s="11" t="str">
        <x:v>Preparar antes del paralelo de ese módulo</x:v>
      </x:c>
      <x:c r="I56" s="11" t="str">
        <x:v>Reglas aprobadas, configuración versionada y diferencias clasificadas.</x:v>
      </x:c>
      <x:c r="J56" s="13" t="str">
        <x:v>Propuesto</x:v>
      </x:c>
      <x:c r="K56" s="13" t="str"/>
      <x:c r="L56" s="14"/>
      <x:c r="M56" s="13" t="str"/>
      <x:c r="N56" s="13" t="str"/>
      <x:c r="O56" s="14"/>
      <x:c r="P56" s="11" t="str">
        <x:f>IF(J56="Cerrado",IF(AND(K56&lt;&gt;"",M56&lt;&gt;"",N56&lt;&gt;"",ISNUMBER(O56)),"Cierre documentado","Falta evidencia o aceptación"),"Pendiente")</x:f>
        <x:v>Pendiente</x:v>
      </x:c>
    </x:row>
    <x:row r="57" ht="35" customHeight="1">
      <x:c r="A57" s="12" t="str">
        <x:v>3.04.03</x:v>
      </x:c>
      <x:c r="B57" s="12" t="str">
        <x:v>M04</x:v>
      </x:c>
      <x:c r="C57" s="12" t="str">
        <x:v>Formar titular y suplente</x:v>
      </x:c>
      <x:c r="D57" s="12" t="str">
        <x:v>Pronóstico, días de stock, unidades de compra, pendientes, trazabilidad y límites de aprobación.</x:v>
      </x:c>
      <x:c r="E57" s="12" t="str">
        <x:v>ZF</x:v>
      </x:c>
      <x:c r="F57" s="12" t="str">
        <x:v>LZ</x:v>
      </x:c>
      <x:c r="G57" s="12" t="str">
        <x:v>3.04.02</x:v>
      </x:c>
      <x:c r="H57" s="12" t="str">
        <x:v>Preparar antes del paralelo de ese módulo</x:v>
      </x:c>
      <x:c r="I57" s="12" t="str">
        <x:v>Titular y suplente completan demostración y práctica individual.</x:v>
      </x:c>
      <x:c r="J57" s="13" t="str">
        <x:v>Propuesto</x:v>
      </x:c>
      <x:c r="K57" s="13" t="str"/>
      <x:c r="L57" s="14"/>
      <x:c r="M57" s="13" t="str"/>
      <x:c r="N57" s="13" t="str"/>
      <x:c r="O57" s="14"/>
      <x:c r="P57" s="12" t="str">
        <x:f>IF(J57="Cerrado",IF(AND(K57&lt;&gt;"",M57&lt;&gt;"",N57&lt;&gt;"",ISNUMBER(O57)),"Cierre documentado","Falta evidencia o aceptación"),"Pendiente")</x:f>
        <x:v>Pendiente</x:v>
      </x:c>
    </x:row>
    <x:row r="58" ht="35" customHeight="1">
      <x:c r="A58" s="11" t="str">
        <x:v>3.04.04</x:v>
      </x:c>
      <x:c r="B58" s="11" t="str">
        <x:v>M04</x:v>
      </x:c>
      <x:c r="C58" s="11" t="str">
        <x:v>Ejecutar UAT y excepciones</x:v>
      </x:c>
      <x:c r="D58" s="11" t="str">
        <x:v>Ejecutar una propuesta, justificar ajustes y enviarla al aprobador.</x:v>
      </x:c>
      <x:c r="E58" s="11" t="str">
        <x:v>RF</x:v>
      </x:c>
      <x:c r="F58" s="11" t="str">
        <x:v>DP</x:v>
      </x:c>
      <x:c r="G58" s="11" t="str">
        <x:v>3.04.03</x:v>
      </x:c>
      <x:c r="H58" s="11" t="str">
        <x:v>Preparar antes del paralelo de ese módulo</x:v>
      </x:c>
      <x:c r="I58" s="11" t="str">
        <x:v>Casos críticos pasan. Defectos y evidencia por ejecución. Reprueba después de correcciones.</x:v>
      </x:c>
      <x:c r="J58" s="13" t="str">
        <x:v>Propuesto</x:v>
      </x:c>
      <x:c r="K58" s="13" t="str"/>
      <x:c r="L58" s="14"/>
      <x:c r="M58" s="13" t="str"/>
      <x:c r="N58" s="13" t="str"/>
      <x:c r="O58" s="14"/>
      <x:c r="P58" s="11" t="str">
        <x:f>IF(J58="Cerrado",IF(AND(K58&lt;&gt;"",M58&lt;&gt;"",N58&lt;&gt;"",ISNUMBER(O58)),"Cierre documentado","Falta evidencia o aceptación"),"Pendiente")</x:f>
        <x:v>Pendiente</x:v>
      </x:c>
    </x:row>
    <x:row r="59" ht="48.5" customHeight="1">
      <x:c r="A59" s="12" t="str">
        <x:v>3.04.05</x:v>
      </x:c>
      <x:c r="B59" s="12" t="str">
        <x:v>M04</x:v>
      </x:c>
      <x:c r="C59" s="12" t="str">
        <x:v>Aceptar UAT y preparación del módulo</x:v>
      </x:c>
      <x:c r="D59" s="12" t="str">
        <x:v>Propuesta reproducible para el corte elegido. Valores esperados aprobados y traspaso a OC sin perder ajustes o autorizaciones.</x:v>
      </x:c>
      <x:c r="E59" s="12" t="str">
        <x:v>RF</x:v>
      </x:c>
      <x:c r="F59" s="12" t="str">
        <x:v>DP</x:v>
      </x:c>
      <x:c r="G59" s="12" t="str">
        <x:v>3.04.04</x:v>
      </x:c>
      <x:c r="H59" s="12" t="str">
        <x:v>Preparar antes del paralelo de ese módulo</x:v>
      </x:c>
      <x:c r="I59" s="12" t="str">
        <x:v>Dueño acepta versión y evidencia. Sin defectos críticos/altos abiertos del circuito.</x:v>
      </x:c>
      <x:c r="J59" s="13" t="str">
        <x:v>Propuesto</x:v>
      </x:c>
      <x:c r="K59" s="13" t="str"/>
      <x:c r="L59" s="14"/>
      <x:c r="M59" s="13" t="str"/>
      <x:c r="N59" s="13" t="str"/>
      <x:c r="O59" s="14"/>
      <x:c r="P59" s="12" t="str">
        <x:f>IF(J59="Cerrado",IF(AND(K59&lt;&gt;"",M59&lt;&gt;"",N59&lt;&gt;"",ISNUMBER(O59)),"Cierre documentado","Falta evidencia o aceptación"),"Pendiente")</x:f>
        <x:v>Pendiente</x:v>
      </x:c>
    </x:row>
    <x:row r="60" ht="35" customHeight="1">
      <x:c r="A60" s="11" t="str">
        <x:v>3.04.06</x:v>
      </x:c>
      <x:c r="B60" s="11" t="str">
        <x:v>M04</x:v>
      </x:c>
      <x:c r="C60" s="11" t="str">
        <x:v>Ejecutar paralelo controlado y piloto</x:v>
      </x:c>
      <x:c r="D60" s="11" t="str">
        <x:v>Comparar el resultado con casos reales y registrar diferencias con causa.</x:v>
      </x:c>
      <x:c r="E60" s="11" t="str">
        <x:v>RF</x:v>
      </x:c>
      <x:c r="F60" s="11" t="str">
        <x:v>DP</x:v>
      </x:c>
      <x:c r="G60" s="11" t="str">
        <x:v>3.04.05;2.06;2.07;2.09</x:v>
      </x:c>
      <x:c r="H60" s="11" t="str">
        <x:v>Desde 04/11, por módulo preparado</x:v>
      </x:c>
      <x:c r="I60" s="11" t="str">
        <x:v>Smoke aprobado. Ciclos y excepción acordados. DIARCO/SGM conserva validez. Comparación y diferencias documentadas.</x:v>
      </x:c>
      <x:c r="J60" s="13" t="str">
        <x:v>Propuesto</x:v>
      </x:c>
      <x:c r="K60" s="13" t="str"/>
      <x:c r="L60" s="14"/>
      <x:c r="M60" s="13" t="str"/>
      <x:c r="N60" s="13" t="str"/>
      <x:c r="O60" s="14"/>
      <x:c r="P60" s="11" t="str">
        <x:f>IF(J60="Cerrado",IF(AND(K60&lt;&gt;"",M60&lt;&gt;"",N60&lt;&gt;"",ISNUMBER(O60)),"Cierre documentado","Falta evidencia o aceptación"),"Pendiente")</x:f>
        <x:v>Pendiente</x:v>
      </x:c>
    </x:row>
    <x:row r="61" ht="35" customHeight="1">
      <x:c r="A61" s="12" t="str">
        <x:v>3.04.07</x:v>
      </x:c>
      <x:c r="B61" s="12" t="str">
        <x:v>M04</x:v>
      </x:c>
      <x:c r="C61" s="12" t="str">
        <x:v>Transferir a usuarios y L1</x:v>
      </x:c>
      <x:c r="D61" s="12" t="str">
        <x:v>Calidad de parámetros de negocio, revisión del sugerido y justificación de decisiones de compra.</x:v>
      </x:c>
      <x:c r="E61" s="12" t="str">
        <x:v>RF</x:v>
      </x:c>
      <x:c r="F61" s="12" t="str">
        <x:v>DP</x:v>
      </x:c>
      <x:c r="G61" s="12" t="str">
        <x:v>3.04.06</x:v>
      </x:c>
      <x:c r="H61" s="12" t="str">
        <x:v>Tras aceptación de módulo</x:v>
      </x:c>
      <x:c r="I61" s="12" t="str">
        <x:v>Usuarios demuestran tareas críticas. Mesa de ayuda y suplente resuelven un caso simulado.</x:v>
      </x:c>
      <x:c r="J61" s="13" t="str">
        <x:v>Propuesto</x:v>
      </x:c>
      <x:c r="K61" s="13" t="str"/>
      <x:c r="L61" s="14"/>
      <x:c r="M61" s="13" t="str"/>
      <x:c r="N61" s="13" t="str"/>
      <x:c r="O61" s="14"/>
      <x:c r="P61" s="12" t="str">
        <x:f>IF(J61="Cerrado",IF(AND(K61&lt;&gt;"",M61&lt;&gt;"",N61&lt;&gt;"",ISNUMBER(O61)),"Cierre documentado","Falta evidencia o aceptación"),"Pendiente")</x:f>
        <x:v>Pendiente</x:v>
      </x:c>
    </x:row>
    <x:row r="62" ht="28" customHeight="1">
      <x:c r="A62" s="11" t="str">
        <x:v>3.04.08</x:v>
      </x:c>
      <x:c r="B62" s="11" t="str">
        <x:v>M04</x:v>
      </x:c>
      <x:c r="C62" s="11" t="str">
        <x:v>Cerrar paquete y recomendar expansión</x:v>
      </x:c>
      <x:c r="D62" s="11" t="str">
        <x:v>Acta de módulo, pendientes y plan de oleada</x:v>
      </x:c>
      <x:c r="E62" s="11" t="str">
        <x:v>RF</x:v>
      </x:c>
      <x:c r="F62" s="11" t="str">
        <x:v>DP</x:v>
      </x:c>
      <x:c r="G62" s="11" t="str">
        <x:v>3.04.07</x:v>
      </x:c>
      <x:c r="H62" s="11" t="str">
        <x:v>Tras aceptación de módulo</x:v>
      </x:c>
      <x:c r="I62" s="11" t="str">
        <x:v>Evidencias completas, soporte habilitado y recomendación para G3.</x:v>
      </x:c>
      <x:c r="J62" s="13" t="str">
        <x:v>Propuesto</x:v>
      </x:c>
      <x:c r="K62" s="13" t="str"/>
      <x:c r="L62" s="14"/>
      <x:c r="M62" s="13" t="str"/>
      <x:c r="N62" s="13" t="str"/>
      <x:c r="O62" s="14"/>
      <x:c r="P62" s="11" t="str">
        <x:f>IF(J62="Cerrado",IF(AND(K62&lt;&gt;"",M62&lt;&gt;"",N62&lt;&gt;"",ISNUMBER(O62)),"Cierre documentado","Falta evidencia o aceptación"),"Pendiente")</x:f>
        <x:v>Pendiente</x:v>
      </x:c>
    </x:row>
    <x:row r="63" ht="35" customHeight="1">
      <x:c r="A63" s="12" t="str">
        <x:v>3.05.01</x:v>
      </x:c>
      <x:c r="B63" s="12" t="str">
        <x:v>M05</x:v>
      </x:c>
      <x:c r="C63" s="12" t="str">
        <x:v>Preparar casos y datos del módulo</x:v>
      </x:c>
      <x:c r="D63" s="12" t="str">
        <x:v>Definir roles y límites de generación, aprobación y anulación.</x:v>
      </x:c>
      <x:c r="E63" s="12" t="str">
        <x:v>RF</x:v>
      </x:c>
      <x:c r="F63" s="12" t="str">
        <x:v>DP</x:v>
      </x:c>
      <x:c r="G63" s="12" t="str">
        <x:v>2.04;2.05;3.03.02;3.04.04</x:v>
      </x:c>
      <x:c r="H63" s="12" t="str">
        <x:v>Preparar antes del paralelo de ese módulo</x:v>
      </x:c>
      <x:c r="I63" s="12" t="str">
        <x:v>Casos representativos con entrada, esperado y responsable de dato.</x:v>
      </x:c>
      <x:c r="J63" s="13" t="str">
        <x:v>Propuesto</x:v>
      </x:c>
      <x:c r="K63" s="13" t="str"/>
      <x:c r="L63" s="14"/>
      <x:c r="M63" s="13" t="str"/>
      <x:c r="N63" s="13" t="str"/>
      <x:c r="O63" s="14"/>
      <x:c r="P63" s="12" t="str">
        <x:f>IF(J63="Cerrado",IF(AND(K63&lt;&gt;"",M63&lt;&gt;"",N63&lt;&gt;"",ISNUMBER(O63)),"Cierre documentado","Falta evidencia o aceptación"),"Pendiente")</x:f>
        <x:v>Pendiente</x:v>
      </x:c>
    </x:row>
    <x:row r="64" ht="35" customHeight="1">
      <x:c r="A64" s="11" t="str">
        <x:v>3.05.02</x:v>
      </x:c>
      <x:c r="B64" s="11" t="str">
        <x:v>M05</x:v>
      </x:c>
      <x:c r="C64" s="11" t="str">
        <x:v>Validar reglas y configuración</x:v>
      </x:c>
      <x:c r="D64" s="11" t="str">
        <x:v>Acordar quién comunica la OC al proveedor durante la convivencia.</x:v>
      </x:c>
      <x:c r="E64" s="11" t="str">
        <x:v>RF</x:v>
      </x:c>
      <x:c r="F64" s="11" t="str">
        <x:v>DP</x:v>
      </x:c>
      <x:c r="G64" s="11" t="str">
        <x:v>3.05.01</x:v>
      </x:c>
      <x:c r="H64" s="11" t="str">
        <x:v>Preparar antes del paralelo de ese módulo</x:v>
      </x:c>
      <x:c r="I64" s="11" t="str">
        <x:v>Reglas aprobadas, configuración versionada y diferencias clasificadas.</x:v>
      </x:c>
      <x:c r="J64" s="13" t="str">
        <x:v>Propuesto</x:v>
      </x:c>
      <x:c r="K64" s="13" t="str"/>
      <x:c r="L64" s="14"/>
      <x:c r="M64" s="13" t="str"/>
      <x:c r="N64" s="13" t="str"/>
      <x:c r="O64" s="14"/>
      <x:c r="P64" s="11" t="str">
        <x:f>IF(J64="Cerrado",IF(AND(K64&lt;&gt;"",M64&lt;&gt;"",N64&lt;&gt;"",ISNUMBER(O64)),"Cierre documentado","Falta evidencia o aceptación"),"Pendiente")</x:f>
        <x:v>Pendiente</x:v>
      </x:c>
    </x:row>
    <x:row r="65" ht="35" customHeight="1">
      <x:c r="A65" s="12" t="str">
        <x:v>3.05.03</x:v>
      </x:c>
      <x:c r="B65" s="12" t="str">
        <x:v>M05</x:v>
      </x:c>
      <x:c r="C65" s="12" t="str">
        <x:v>Formar titular y suplente</x:v>
      </x:c>
      <x:c r="D65" s="12" t="str">
        <x:v>Estados de OC, precio/impuestos, permisos, acuse técnico y funcional, reintento y contingencia.</x:v>
      </x:c>
      <x:c r="E65" s="12" t="str">
        <x:v>ZF</x:v>
      </x:c>
      <x:c r="F65" s="12" t="str">
        <x:v>LZ</x:v>
      </x:c>
      <x:c r="G65" s="12" t="str">
        <x:v>3.05.02</x:v>
      </x:c>
      <x:c r="H65" s="12" t="str">
        <x:v>Preparar antes del paralelo de ese módulo</x:v>
      </x:c>
      <x:c r="I65" s="12" t="str">
        <x:v>Titular y suplente completan demostración y práctica individual.</x:v>
      </x:c>
      <x:c r="J65" s="13" t="str">
        <x:v>Propuesto</x:v>
      </x:c>
      <x:c r="K65" s="13" t="str"/>
      <x:c r="L65" s="14"/>
      <x:c r="M65" s="13" t="str"/>
      <x:c r="N65" s="13" t="str"/>
      <x:c r="O65" s="14"/>
      <x:c r="P65" s="12" t="str">
        <x:f>IF(J65="Cerrado",IF(AND(K65&lt;&gt;"",M65&lt;&gt;"",N65&lt;&gt;"",ISNUMBER(O65)),"Cierre documentado","Falta evidencia o aceptación"),"Pendiente")</x:f>
        <x:v>Pendiente</x:v>
      </x:c>
    </x:row>
    <x:row r="66" ht="35" customHeight="1">
      <x:c r="A66" s="11" t="str">
        <x:v>3.05.04</x:v>
      </x:c>
      <x:c r="B66" s="11" t="str">
        <x:v>M05</x:v>
      </x:c>
      <x:c r="C66" s="11" t="str">
        <x:v>Ejecutar UAT y excepciones</x:v>
      </x:c>
      <x:c r="D66" s="11" t="str">
        <x:v>Validar valorización con Compras e Impuestos y vinculación de identificadores.</x:v>
      </x:c>
      <x:c r="E66" s="11" t="str">
        <x:v>RF</x:v>
      </x:c>
      <x:c r="F66" s="11" t="str">
        <x:v>DP</x:v>
      </x:c>
      <x:c r="G66" s="11" t="str">
        <x:v>3.05.03</x:v>
      </x:c>
      <x:c r="H66" s="11" t="str">
        <x:v>Preparar antes del paralelo de ese módulo</x:v>
      </x:c>
      <x:c r="I66" s="11" t="str">
        <x:v>Casos críticos pasan. Defectos y evidencia por ejecución. Reprueba después de correcciones.</x:v>
      </x:c>
      <x:c r="J66" s="13" t="str">
        <x:v>Propuesto</x:v>
      </x:c>
      <x:c r="K66" s="13" t="str"/>
      <x:c r="L66" s="14"/>
      <x:c r="M66" s="13" t="str"/>
      <x:c r="N66" s="13" t="str"/>
      <x:c r="O66" s="14"/>
      <x:c r="P66" s="11" t="str">
        <x:f>IF(J66="Cerrado",IF(AND(K66&lt;&gt;"",M66&lt;&gt;"",N66&lt;&gt;"",ISNUMBER(O66)),"Cierre documentado","Falta evidencia o aceptación"),"Pendiente")</x:f>
        <x:v>Pendiente</x:v>
      </x:c>
    </x:row>
    <x:row r="67" ht="48.5" customHeight="1">
      <x:c r="A67" s="12" t="str">
        <x:v>3.05.05</x:v>
      </x:c>
      <x:c r="B67" s="12" t="str">
        <x:v>M05</x:v>
      </x:c>
      <x:c r="C67" s="12" t="str">
        <x:v>Aceptar UAT y preparación del módulo</x:v>
      </x:c>
      <x:c r="D67" s="12" t="str">
        <x:v>Cada OC piloto tiene identificación cruzada, valores conciliados y resultado confirmado. Reintentar no duplica documento ni envío al proveedor.</x:v>
      </x:c>
      <x:c r="E67" s="12" t="str">
        <x:v>RF</x:v>
      </x:c>
      <x:c r="F67" s="12" t="str">
        <x:v>DP</x:v>
      </x:c>
      <x:c r="G67" s="12" t="str">
        <x:v>3.05.04</x:v>
      </x:c>
      <x:c r="H67" s="12" t="str">
        <x:v>Preparar antes del paralelo de ese módulo</x:v>
      </x:c>
      <x:c r="I67" s="12" t="str">
        <x:v>Dueño acepta versión y evidencia. Sin defectos críticos/altos abiertos del circuito.</x:v>
      </x:c>
      <x:c r="J67" s="13" t="str">
        <x:v>Propuesto</x:v>
      </x:c>
      <x:c r="K67" s="13" t="str"/>
      <x:c r="L67" s="14"/>
      <x:c r="M67" s="13" t="str"/>
      <x:c r="N67" s="13" t="str"/>
      <x:c r="O67" s="14"/>
      <x:c r="P67" s="12" t="str">
        <x:f>IF(J67="Cerrado",IF(AND(K67&lt;&gt;"",M67&lt;&gt;"",N67&lt;&gt;"",ISNUMBER(O67)),"Cierre documentado","Falta evidencia o aceptación"),"Pendiente")</x:f>
        <x:v>Pendiente</x:v>
      </x:c>
    </x:row>
    <x:row r="68" ht="35" customHeight="1">
      <x:c r="A68" s="11" t="str">
        <x:v>3.05.06</x:v>
      </x:c>
      <x:c r="B68" s="11" t="str">
        <x:v>M05</x:v>
      </x:c>
      <x:c r="C68" s="11" t="str">
        <x:v>Ejecutar paralelo controlado y piloto</x:v>
      </x:c>
      <x:c r="D68" s="11" t="str">
        <x:v>Conciliar cabecera, líneas y estado en SGM y ensayar recuperación sin duplicar.</x:v>
      </x:c>
      <x:c r="E68" s="11" t="str">
        <x:v>RF</x:v>
      </x:c>
      <x:c r="F68" s="11" t="str">
        <x:v>DP</x:v>
      </x:c>
      <x:c r="G68" s="11" t="str">
        <x:v>3.05.05;2.06;2.07;2.09</x:v>
      </x:c>
      <x:c r="H68" s="11" t="str">
        <x:v>Desde 04/11, por módulo preparado</x:v>
      </x:c>
      <x:c r="I68" s="11" t="str">
        <x:v>Smoke aprobado. Ciclos y excepción acordados. DIARCO/SGM conserva validez. Comparación y diferencias documentadas.</x:v>
      </x:c>
      <x:c r="J68" s="13" t="str">
        <x:v>Propuesto</x:v>
      </x:c>
      <x:c r="K68" s="13" t="str"/>
      <x:c r="L68" s="14"/>
      <x:c r="M68" s="13" t="str"/>
      <x:c r="N68" s="13" t="str"/>
      <x:c r="O68" s="14"/>
      <x:c r="P68" s="11" t="str">
        <x:f>IF(J68="Cerrado",IF(AND(K68&lt;&gt;"",M68&lt;&gt;"",N68&lt;&gt;"",ISNUMBER(O68)),"Cierre documentado","Falta evidencia o aceptación"),"Pendiente")</x:f>
        <x:v>Pendiente</x:v>
      </x:c>
    </x:row>
    <x:row r="69" ht="35" customHeight="1">
      <x:c r="A69" s="12" t="str">
        <x:v>3.05.07</x:v>
      </x:c>
      <x:c r="B69" s="12" t="str">
        <x:v>M05</x:v>
      </x:c>
      <x:c r="C69" s="12" t="str">
        <x:v>Transferir a usuarios y L1</x:v>
      </x:c>
      <x:c r="D69" s="12" t="str">
        <x:v>Aceptación comercial de la OC, autorización del circuito y control de pendientes no conciliados.</x:v>
      </x:c>
      <x:c r="E69" s="12" t="str">
        <x:v>RF</x:v>
      </x:c>
      <x:c r="F69" s="12" t="str">
        <x:v>DP</x:v>
      </x:c>
      <x:c r="G69" s="12" t="str">
        <x:v>3.05.06</x:v>
      </x:c>
      <x:c r="H69" s="12" t="str">
        <x:v>Tras aceptación de módulo</x:v>
      </x:c>
      <x:c r="I69" s="12" t="str">
        <x:v>Usuarios demuestran tareas críticas. Mesa de ayuda y suplente resuelven un caso simulado.</x:v>
      </x:c>
      <x:c r="J69" s="13" t="str">
        <x:v>Propuesto</x:v>
      </x:c>
      <x:c r="K69" s="13" t="str"/>
      <x:c r="L69" s="14"/>
      <x:c r="M69" s="13" t="str"/>
      <x:c r="N69" s="13" t="str"/>
      <x:c r="O69" s="14"/>
      <x:c r="P69" s="12" t="str">
        <x:f>IF(J69="Cerrado",IF(AND(K69&lt;&gt;"",M69&lt;&gt;"",N69&lt;&gt;"",ISNUMBER(O69)),"Cierre documentado","Falta evidencia o aceptación"),"Pendiente")</x:f>
        <x:v>Pendiente</x:v>
      </x:c>
    </x:row>
    <x:row r="70" ht="28" customHeight="1">
      <x:c r="A70" s="11" t="str">
        <x:v>3.05.08</x:v>
      </x:c>
      <x:c r="B70" s="11" t="str">
        <x:v>M05</x:v>
      </x:c>
      <x:c r="C70" s="11" t="str">
        <x:v>Cerrar paquete y recomendar expansión</x:v>
      </x:c>
      <x:c r="D70" s="11" t="str">
        <x:v>Acta de módulo, pendientes y plan de oleada</x:v>
      </x:c>
      <x:c r="E70" s="11" t="str">
        <x:v>RF</x:v>
      </x:c>
      <x:c r="F70" s="11" t="str">
        <x:v>DP</x:v>
      </x:c>
      <x:c r="G70" s="11" t="str">
        <x:v>3.05.07</x:v>
      </x:c>
      <x:c r="H70" s="11" t="str">
        <x:v>Tras aceptación de módulo</x:v>
      </x:c>
      <x:c r="I70" s="11" t="str">
        <x:v>Evidencias completas, soporte habilitado y recomendación para G3.</x:v>
      </x:c>
      <x:c r="J70" s="13" t="str">
        <x:v>Propuesto</x:v>
      </x:c>
      <x:c r="K70" s="13" t="str"/>
      <x:c r="L70" s="14"/>
      <x:c r="M70" s="13" t="str"/>
      <x:c r="N70" s="13" t="str"/>
      <x:c r="O70" s="14"/>
      <x:c r="P70" s="11" t="str">
        <x:f>IF(J70="Cerrado",IF(AND(K70&lt;&gt;"",M70&lt;&gt;"",N70&lt;&gt;"",ISNUMBER(O70)),"Cierre documentado","Falta evidencia o aceptación"),"Pendiente")</x:f>
        <x:v>Pendiente</x:v>
      </x:c>
    </x:row>
    <x:row r="71" ht="35" customHeight="1">
      <x:c r="A71" s="12" t="str">
        <x:v>3.06.01</x:v>
      </x:c>
      <x:c r="B71" s="12" t="str">
        <x:v>M06</x:v>
      </x:c>
      <x:c r="C71" s="12" t="str">
        <x:v>Preparar casos y datos del módulo</x:v>
      </x:c>
      <x:c r="D71" s="12" t="str">
        <x:v>Mapear operación con PDA, diferencias y documentos pendientes.</x:v>
      </x:c>
      <x:c r="E71" s="12" t="str">
        <x:v>RF</x:v>
      </x:c>
      <x:c r="F71" s="12" t="str">
        <x:v>DP</x:v>
      </x:c>
      <x:c r="G71" s="12" t="str">
        <x:v>2.04;2.05;3.05.04;3.10.02</x:v>
      </x:c>
      <x:c r="H71" s="12" t="str">
        <x:v>Preparar antes del paralelo de ese módulo</x:v>
      </x:c>
      <x:c r="I71" s="12" t="str">
        <x:v>Casos representativos con entrada, esperado y responsable de dato.</x:v>
      </x:c>
      <x:c r="J71" s="13" t="str">
        <x:v>Propuesto</x:v>
      </x:c>
      <x:c r="K71" s="13" t="str"/>
      <x:c r="L71" s="14"/>
      <x:c r="M71" s="13" t="str"/>
      <x:c r="N71" s="13" t="str"/>
      <x:c r="O71" s="14"/>
      <x:c r="P71" s="12" t="str">
        <x:f>IF(J71="Cerrado",IF(AND(K71&lt;&gt;"",M71&lt;&gt;"",N71&lt;&gt;"",ISNUMBER(O71)),"Cierre documentado","Falta evidencia o aceptación"),"Pendiente")</x:f>
        <x:v>Pendiente</x:v>
      </x:c>
    </x:row>
    <x:row r="72" ht="35" customHeight="1">
      <x:c r="A72" s="11" t="str">
        <x:v>3.06.02</x:v>
      </x:c>
      <x:c r="B72" s="11" t="str">
        <x:v>M06</x:v>
      </x:c>
      <x:c r="C72" s="11" t="str">
        <x:v>Validar reglas y configuración</x:v>
      </x:c>
      <x:c r="D72" s="11" t="str">
        <x:v>Probar una sucursal Mayorista y una Barrio si ambas participan del piloto.</x:v>
      </x:c>
      <x:c r="E72" s="11" t="str">
        <x:v>RF</x:v>
      </x:c>
      <x:c r="F72" s="11" t="str">
        <x:v>DP</x:v>
      </x:c>
      <x:c r="G72" s="11" t="str">
        <x:v>3.06.01</x:v>
      </x:c>
      <x:c r="H72" s="11" t="str">
        <x:v>Preparar antes del paralelo de ese módulo</x:v>
      </x:c>
      <x:c r="I72" s="11" t="str">
        <x:v>Reglas aprobadas, configuración versionada y diferencias clasificadas.</x:v>
      </x:c>
      <x:c r="J72" s="13" t="str">
        <x:v>Propuesto</x:v>
      </x:c>
      <x:c r="K72" s="13" t="str"/>
      <x:c r="L72" s="14"/>
      <x:c r="M72" s="13" t="str"/>
      <x:c r="N72" s="13" t="str"/>
      <x:c r="O72" s="14"/>
      <x:c r="P72" s="11" t="str">
        <x:f>IF(J72="Cerrado",IF(AND(K72&lt;&gt;"",M72&lt;&gt;"",N72&lt;&gt;"",ISNUMBER(O72)),"Cierre documentado","Falta evidencia o aceptación"),"Pendiente")</x:f>
        <x:v>Pendiente</x:v>
      </x:c>
    </x:row>
    <x:row r="73" ht="35" customHeight="1">
      <x:c r="A73" s="12" t="str">
        <x:v>3.06.03</x:v>
      </x:c>
      <x:c r="B73" s="12" t="str">
        <x:v>M06</x:v>
      </x:c>
      <x:c r="C73" s="12" t="str">
        <x:v>Formar titular y suplente</x:v>
      </x:c>
      <x:c r="D73" s="12" t="str">
        <x:v>OC/transferencia pendiente, unidad de recepción, recepción parcial y final, diferencias y contingencia.</x:v>
      </x:c>
      <x:c r="E73" s="12" t="str">
        <x:v>ZF</x:v>
      </x:c>
      <x:c r="F73" s="12" t="str">
        <x:v>LZ</x:v>
      </x:c>
      <x:c r="G73" s="12" t="str">
        <x:v>3.06.02</x:v>
      </x:c>
      <x:c r="H73" s="12" t="str">
        <x:v>Preparar antes del paralelo de ese módulo</x:v>
      </x:c>
      <x:c r="I73" s="12" t="str">
        <x:v>Titular y suplente completan demostración y práctica individual.</x:v>
      </x:c>
      <x:c r="J73" s="13" t="str">
        <x:v>Propuesto</x:v>
      </x:c>
      <x:c r="K73" s="13" t="str"/>
      <x:c r="L73" s="14"/>
      <x:c r="M73" s="13" t="str"/>
      <x:c r="N73" s="13" t="str"/>
      <x:c r="O73" s="14"/>
      <x:c r="P73" s="12" t="str">
        <x:f>IF(J73="Cerrado",IF(AND(K73&lt;&gt;"",M73&lt;&gt;"",N73&lt;&gt;"",ISNUMBER(O73)),"Cierre documentado","Falta evidencia o aceptación"),"Pendiente")</x:f>
        <x:v>Pendiente</x:v>
      </x:c>
    </x:row>
    <x:row r="74" ht="35" customHeight="1">
      <x:c r="A74" s="11" t="str">
        <x:v>3.06.04</x:v>
      </x:c>
      <x:c r="B74" s="11" t="str">
        <x:v>M06</x:v>
      </x:c>
      <x:c r="C74" s="11" t="str">
        <x:v>Ejecutar UAT y excepciones</x:v>
      </x:c>
      <x:c r="D74" s="11" t="str">
        <x:v>Conciliar cantidades recibidas, pendientes y stock del sistema autorizado.</x:v>
      </x:c>
      <x:c r="E74" s="11" t="str">
        <x:v>RF</x:v>
      </x:c>
      <x:c r="F74" s="11" t="str">
        <x:v>DP</x:v>
      </x:c>
      <x:c r="G74" s="11" t="str">
        <x:v>3.06.03</x:v>
      </x:c>
      <x:c r="H74" s="11" t="str">
        <x:v>Preparar antes del paralelo de ese módulo</x:v>
      </x:c>
      <x:c r="I74" s="11" t="str">
        <x:v>Casos críticos pasan. Defectos y evidencia por ejecución. Reprueba después de correcciones.</x:v>
      </x:c>
      <x:c r="J74" s="13" t="str">
        <x:v>Propuesto</x:v>
      </x:c>
      <x:c r="K74" s="13" t="str"/>
      <x:c r="L74" s="14"/>
      <x:c r="M74" s="13" t="str"/>
      <x:c r="N74" s="13" t="str"/>
      <x:c r="O74" s="14"/>
      <x:c r="P74" s="11" t="str">
        <x:f>IF(J74="Cerrado",IF(AND(K74&lt;&gt;"",M74&lt;&gt;"",N74&lt;&gt;"",ISNUMBER(O74)),"Cierre documentado","Falta evidencia o aceptación"),"Pendiente")</x:f>
        <x:v>Pendiente</x:v>
      </x:c>
    </x:row>
    <x:row r="75" ht="35" customHeight="1">
      <x:c r="A75" s="12" t="str">
        <x:v>3.06.05</x:v>
      </x:c>
      <x:c r="B75" s="12" t="str">
        <x:v>M06</x:v>
      </x:c>
      <x:c r="C75" s="12" t="str">
        <x:v>Aceptar UAT y preparación del módulo</x:v>
      </x:c>
      <x:c r="D75" s="12" t="str">
        <x:v>Recepción y saldo pendiente coinciden con evidencia física y con el sistema autorizado, sin doble impacto.</x:v>
      </x:c>
      <x:c r="E75" s="12" t="str">
        <x:v>RF</x:v>
      </x:c>
      <x:c r="F75" s="12" t="str">
        <x:v>DP</x:v>
      </x:c>
      <x:c r="G75" s="12" t="str">
        <x:v>3.06.04</x:v>
      </x:c>
      <x:c r="H75" s="12" t="str">
        <x:v>Preparar antes del paralelo de ese módulo</x:v>
      </x:c>
      <x:c r="I75" s="12" t="str">
        <x:v>Dueño acepta versión y evidencia. Sin defectos críticos/altos abiertos del circuito.</x:v>
      </x:c>
      <x:c r="J75" s="13" t="str">
        <x:v>Propuesto</x:v>
      </x:c>
      <x:c r="K75" s="13" t="str"/>
      <x:c r="L75" s="14"/>
      <x:c r="M75" s="13" t="str"/>
      <x:c r="N75" s="13" t="str"/>
      <x:c r="O75" s="14"/>
      <x:c r="P75" s="12" t="str">
        <x:f>IF(J75="Cerrado",IF(AND(K75&lt;&gt;"",M75&lt;&gt;"",N75&lt;&gt;"",ISNUMBER(O75)),"Cierre documentado","Falta evidencia o aceptación"),"Pendiente")</x:f>
        <x:v>Pendiente</x:v>
      </x:c>
    </x:row>
    <x:row r="76" ht="35" customHeight="1">
      <x:c r="A76" s="11" t="str">
        <x:v>3.06.06</x:v>
      </x:c>
      <x:c r="B76" s="11" t="str">
        <x:v>M06</x:v>
      </x:c>
      <x:c r="C76" s="11" t="str">
        <x:v>Ejecutar paralelo controlado y piloto</x:v>
      </x:c>
      <x:c r="D76" s="11" t="str">
        <x:v>Ensayar caída de comunicación y recuperación con control de doble recepción.</x:v>
      </x:c>
      <x:c r="E76" s="11" t="str">
        <x:v>RF</x:v>
      </x:c>
      <x:c r="F76" s="11" t="str">
        <x:v>DP</x:v>
      </x:c>
      <x:c r="G76" s="11" t="str">
        <x:v>3.06.05;2.06;2.07;2.09;2.12;2.15;2.17</x:v>
      </x:c>
      <x:c r="H76" s="11" t="str">
        <x:v>Desde 04/11, por módulo preparado</x:v>
      </x:c>
      <x:c r="I76" s="11" t="str">
        <x:v>Smoke aprobado. Ciclos y excepción acordados. DIARCO/SGM conserva validez. Comparación y diferencias documentadas.</x:v>
      </x:c>
      <x:c r="J76" s="13" t="str">
        <x:v>Propuesto</x:v>
      </x:c>
      <x:c r="K76" s="13" t="str"/>
      <x:c r="L76" s="14"/>
      <x:c r="M76" s="13" t="str"/>
      <x:c r="N76" s="13" t="str"/>
      <x:c r="O76" s="14"/>
      <x:c r="P76" s="11" t="str">
        <x:f>IF(J76="Cerrado",IF(AND(K76&lt;&gt;"",M76&lt;&gt;"",N76&lt;&gt;"",ISNUMBER(O76)),"Cierre documentado","Falta evidencia o aceptación"),"Pendiente")</x:f>
        <x:v>Pendiente</x:v>
      </x:c>
    </x:row>
    <x:row r="77" ht="35" customHeight="1">
      <x:c r="A77" s="12" t="str">
        <x:v>3.06.07</x:v>
      </x:c>
      <x:c r="B77" s="12" t="str">
        <x:v>M06</x:v>
      </x:c>
      <x:c r="C77" s="12" t="str">
        <x:v>Transferir a usuarios y L1</x:v>
      </x:c>
      <x:c r="D77" s="12" t="str">
        <x:v>Corrección del registro físico, validación del documento y disciplina del circuito durante convivencia.</x:v>
      </x:c>
      <x:c r="E77" s="12" t="str">
        <x:v>RF</x:v>
      </x:c>
      <x:c r="F77" s="12" t="str">
        <x:v>DP</x:v>
      </x:c>
      <x:c r="G77" s="12" t="str">
        <x:v>3.06.06</x:v>
      </x:c>
      <x:c r="H77" s="12" t="str">
        <x:v>Tras aceptación de módulo</x:v>
      </x:c>
      <x:c r="I77" s="12" t="str">
        <x:v>Usuarios demuestran tareas críticas. Mesa de ayuda y suplente resuelven un caso simulado.</x:v>
      </x:c>
      <x:c r="J77" s="13" t="str">
        <x:v>Propuesto</x:v>
      </x:c>
      <x:c r="K77" s="13" t="str"/>
      <x:c r="L77" s="14"/>
      <x:c r="M77" s="13" t="str"/>
      <x:c r="N77" s="13" t="str"/>
      <x:c r="O77" s="14"/>
      <x:c r="P77" s="12" t="str">
        <x:f>IF(J77="Cerrado",IF(AND(K77&lt;&gt;"",M77&lt;&gt;"",N77&lt;&gt;"",ISNUMBER(O77)),"Cierre documentado","Falta evidencia o aceptación"),"Pendiente")</x:f>
        <x:v>Pendiente</x:v>
      </x:c>
    </x:row>
    <x:row r="78" ht="28" customHeight="1">
      <x:c r="A78" s="11" t="str">
        <x:v>3.06.08</x:v>
      </x:c>
      <x:c r="B78" s="11" t="str">
        <x:v>M06</x:v>
      </x:c>
      <x:c r="C78" s="11" t="str">
        <x:v>Cerrar paquete y recomendar expansión</x:v>
      </x:c>
      <x:c r="D78" s="11" t="str">
        <x:v>Acta de módulo, pendientes y plan de oleada</x:v>
      </x:c>
      <x:c r="E78" s="11" t="str">
        <x:v>RF</x:v>
      </x:c>
      <x:c r="F78" s="11" t="str">
        <x:v>DP</x:v>
      </x:c>
      <x:c r="G78" s="11" t="str">
        <x:v>3.06.07</x:v>
      </x:c>
      <x:c r="H78" s="11" t="str">
        <x:v>Tras aceptación de módulo</x:v>
      </x:c>
      <x:c r="I78" s="11" t="str">
        <x:v>Evidencias completas, soporte habilitado y recomendación para G3.</x:v>
      </x:c>
      <x:c r="J78" s="13" t="str">
        <x:v>Propuesto</x:v>
      </x:c>
      <x:c r="K78" s="13" t="str"/>
      <x:c r="L78" s="14"/>
      <x:c r="M78" s="13" t="str"/>
      <x:c r="N78" s="13" t="str"/>
      <x:c r="O78" s="14"/>
      <x:c r="P78" s="11" t="str">
        <x:f>IF(J78="Cerrado",IF(AND(K78&lt;&gt;"",M78&lt;&gt;"",N78&lt;&gt;"",ISNUMBER(O78)),"Cierre documentado","Falta evidencia o aceptación"),"Pendiente")</x:f>
        <x:v>Pendiente</x:v>
      </x:c>
    </x:row>
    <x:row r="79" ht="35" customHeight="1">
      <x:c r="A79" s="12" t="str">
        <x:v>3.07.01</x:v>
      </x:c>
      <x:c r="B79" s="12" t="str">
        <x:v>M07</x:v>
      </x:c>
      <x:c r="C79" s="12" t="str">
        <x:v>Preparar casos y datos del módulo</x:v>
      </x:c>
      <x:c r="D79" s="12" t="str">
        <x:v>Definir mapa, muestra de conteo, corte y responsables de recuento.</x:v>
      </x:c>
      <x:c r="E79" s="12" t="str">
        <x:v>RF</x:v>
      </x:c>
      <x:c r="F79" s="12" t="str">
        <x:v>DP</x:v>
      </x:c>
      <x:c r="G79" s="12" t="str">
        <x:v>2.04;2.05;3.10.02</x:v>
      </x:c>
      <x:c r="H79" s="12" t="str">
        <x:v>Preparar antes del paralelo de ese módulo</x:v>
      </x:c>
      <x:c r="I79" s="12" t="str">
        <x:v>Casos representativos con entrada, esperado y responsable de dato.</x:v>
      </x:c>
      <x:c r="J79" s="13" t="str">
        <x:v>Propuesto</x:v>
      </x:c>
      <x:c r="K79" s="13" t="str"/>
      <x:c r="L79" s="14"/>
      <x:c r="M79" s="13" t="str"/>
      <x:c r="N79" s="13" t="str"/>
      <x:c r="O79" s="14"/>
      <x:c r="P79" s="12" t="str">
        <x:f>IF(J79="Cerrado",IF(AND(K79&lt;&gt;"",M79&lt;&gt;"",N79&lt;&gt;"",ISNUMBER(O79)),"Cierre documentado","Falta evidencia o aceptación"),"Pendiente")</x:f>
        <x:v>Pendiente</x:v>
      </x:c>
    </x:row>
    <x:row r="80" ht="35" customHeight="1">
      <x:c r="A80" s="11" t="str">
        <x:v>3.07.02</x:v>
      </x:c>
      <x:c r="B80" s="11" t="str">
        <x:v>M07</x:v>
      </x:c>
      <x:c r="C80" s="11" t="str">
        <x:v>Validar reglas y configuración</x:v>
      </x:c>
      <x:c r="D80" s="11" t="str">
        <x:v>Preparar artículos con cantidad conocida y casos de diferencia.</x:v>
      </x:c>
      <x:c r="E80" s="11" t="str">
        <x:v>RF</x:v>
      </x:c>
      <x:c r="F80" s="11" t="str">
        <x:v>DP</x:v>
      </x:c>
      <x:c r="G80" s="11" t="str">
        <x:v>3.07.01</x:v>
      </x:c>
      <x:c r="H80" s="11" t="str">
        <x:v>Preparar antes del paralelo de ese módulo</x:v>
      </x:c>
      <x:c r="I80" s="11" t="str">
        <x:v>Reglas aprobadas, configuración versionada y diferencias clasificadas.</x:v>
      </x:c>
      <x:c r="J80" s="13" t="str">
        <x:v>Propuesto</x:v>
      </x:c>
      <x:c r="K80" s="13" t="str"/>
      <x:c r="L80" s="14"/>
      <x:c r="M80" s="13" t="str"/>
      <x:c r="N80" s="13" t="str"/>
      <x:c r="O80" s="14"/>
      <x:c r="P80" s="11" t="str">
        <x:f>IF(J80="Cerrado",IF(AND(K80&lt;&gt;"",M80&lt;&gt;"",N80&lt;&gt;"",ISNUMBER(O80)),"Cierre documentado","Falta evidencia o aceptación"),"Pendiente")</x:f>
        <x:v>Pendiente</x:v>
      </x:c>
    </x:row>
    <x:row r="81" ht="35" customHeight="1">
      <x:c r="A81" s="12" t="str">
        <x:v>3.07.03</x:v>
      </x:c>
      <x:c r="B81" s="12" t="str">
        <x:v>M07</x:v>
      </x:c>
      <x:c r="C81" s="12" t="str">
        <x:v>Formar titular y suplente</x:v>
      </x:c>
      <x:c r="D81" s="12" t="str">
        <x:v>Foto de stock, corte, conteo/recuento, diferencias, aprobación y trazabilidad de ajuste.</x:v>
      </x:c>
      <x:c r="E81" s="12" t="str">
        <x:v>ZF</x:v>
      </x:c>
      <x:c r="F81" s="12" t="str">
        <x:v>LZ</x:v>
      </x:c>
      <x:c r="G81" s="12" t="str">
        <x:v>3.07.02</x:v>
      </x:c>
      <x:c r="H81" s="12" t="str">
        <x:v>Preparar antes del paralelo de ese módulo</x:v>
      </x:c>
      <x:c r="I81" s="12" t="str">
        <x:v>Titular y suplente completan demostración y práctica individual.</x:v>
      </x:c>
      <x:c r="J81" s="13" t="str">
        <x:v>Propuesto</x:v>
      </x:c>
      <x:c r="K81" s="13" t="str"/>
      <x:c r="L81" s="14"/>
      <x:c r="M81" s="13" t="str"/>
      <x:c r="N81" s="13" t="str"/>
      <x:c r="O81" s="14"/>
      <x:c r="P81" s="12" t="str">
        <x:f>IF(J81="Cerrado",IF(AND(K81&lt;&gt;"",M81&lt;&gt;"",N81&lt;&gt;"",ISNUMBER(O81)),"Cierre documentado","Falta evidencia o aceptación"),"Pendiente")</x:f>
        <x:v>Pendiente</x:v>
      </x:c>
    </x:row>
    <x:row r="82" ht="35" customHeight="1">
      <x:c r="A82" s="11" t="str">
        <x:v>3.07.04</x:v>
      </x:c>
      <x:c r="B82" s="11" t="str">
        <x:v>M07</x:v>
      </x:c>
      <x:c r="C82" s="11" t="str">
        <x:v>Ejecutar UAT y excepciones</x:v>
      </x:c>
      <x:c r="D82" s="11" t="str">
        <x:v>Ejecutar conteo, recuento y aprobación con segregación.</x:v>
      </x:c>
      <x:c r="E82" s="11" t="str">
        <x:v>RF</x:v>
      </x:c>
      <x:c r="F82" s="11" t="str">
        <x:v>DP</x:v>
      </x:c>
      <x:c r="G82" s="11" t="str">
        <x:v>3.07.03</x:v>
      </x:c>
      <x:c r="H82" s="11" t="str">
        <x:v>Preparar antes del paralelo de ese módulo</x:v>
      </x:c>
      <x:c r="I82" s="11" t="str">
        <x:v>Casos críticos pasan. Defectos y evidencia por ejecución. Reprueba después de correcciones.</x:v>
      </x:c>
      <x:c r="J82" s="13" t="str">
        <x:v>Propuesto</x:v>
      </x:c>
      <x:c r="K82" s="13" t="str"/>
      <x:c r="L82" s="14"/>
      <x:c r="M82" s="13" t="str"/>
      <x:c r="N82" s="13" t="str"/>
      <x:c r="O82" s="14"/>
      <x:c r="P82" s="11" t="str">
        <x:f>IF(J82="Cerrado",IF(AND(K82&lt;&gt;"",M82&lt;&gt;"",N82&lt;&gt;"",ISNUMBER(O82)),"Cierre documentado","Falta evidencia o aceptación"),"Pendiente")</x:f>
        <x:v>Pendiente</x:v>
      </x:c>
    </x:row>
    <x:row r="83" ht="35" customHeight="1">
      <x:c r="A83" s="12" t="str">
        <x:v>3.07.05</x:v>
      </x:c>
      <x:c r="B83" s="12" t="str">
        <x:v>M07</x:v>
      </x:c>
      <x:c r="C83" s="12" t="str">
        <x:v>Aceptar UAT y preparación del módulo</x:v>
      </x:c>
      <x:c r="D83" s="12" t="str">
        <x:v>Conteo, diferencia y ajuste mantienen trazabilidad. El ajuste ocurre una sola vez y sólo con autorización válida.</x:v>
      </x:c>
      <x:c r="E83" s="12" t="str">
        <x:v>RF</x:v>
      </x:c>
      <x:c r="F83" s="12" t="str">
        <x:v>DP</x:v>
      </x:c>
      <x:c r="G83" s="12" t="str">
        <x:v>3.07.04</x:v>
      </x:c>
      <x:c r="H83" s="12" t="str">
        <x:v>Preparar antes del paralelo de ese módulo</x:v>
      </x:c>
      <x:c r="I83" s="12" t="str">
        <x:v>Dueño acepta versión y evidencia. Sin defectos críticos/altos abiertos del circuito.</x:v>
      </x:c>
      <x:c r="J83" s="13" t="str">
        <x:v>Propuesto</x:v>
      </x:c>
      <x:c r="K83" s="13" t="str"/>
      <x:c r="L83" s="14"/>
      <x:c r="M83" s="13" t="str"/>
      <x:c r="N83" s="13" t="str"/>
      <x:c r="O83" s="14"/>
      <x:c r="P83" s="12" t="str">
        <x:f>IF(J83="Cerrado",IF(AND(K83&lt;&gt;"",M83&lt;&gt;"",N83&lt;&gt;"",ISNUMBER(O83)),"Cierre documentado","Falta evidencia o aceptación"),"Pendiente")</x:f>
        <x:v>Pendiente</x:v>
      </x:c>
    </x:row>
    <x:row r="84" ht="35" customHeight="1">
      <x:c r="A84" s="11" t="str">
        <x:v>3.07.06</x:v>
      </x:c>
      <x:c r="B84" s="11" t="str">
        <x:v>M07</x:v>
      </x:c>
      <x:c r="C84" s="11" t="str">
        <x:v>Ejecutar paralelo controlado y piloto</x:v>
      </x:c>
      <x:c r="D84" s="11" t="str">
        <x:v>Conciliar el ajuste aplicado y conservar evidencia previa y posterior.</x:v>
      </x:c>
      <x:c r="E84" s="11" t="str">
        <x:v>RF</x:v>
      </x:c>
      <x:c r="F84" s="11" t="str">
        <x:v>DP</x:v>
      </x:c>
      <x:c r="G84" s="11" t="str">
        <x:v>3.07.05;2.06;2.07;2.09;2.16</x:v>
      </x:c>
      <x:c r="H84" s="11" t="str">
        <x:v>Desde 04/11, por módulo preparado</x:v>
      </x:c>
      <x:c r="I84" s="11" t="str">
        <x:v>Smoke aprobado. Ciclos y excepción acordados. DIARCO/SGM conserva validez. Comparación y diferencias documentadas.</x:v>
      </x:c>
      <x:c r="J84" s="13" t="str">
        <x:v>Propuesto</x:v>
      </x:c>
      <x:c r="K84" s="13" t="str"/>
      <x:c r="L84" s="14"/>
      <x:c r="M84" s="13" t="str"/>
      <x:c r="N84" s="13" t="str"/>
      <x:c r="O84" s="14"/>
      <x:c r="P84" s="11" t="str">
        <x:f>IF(J84="Cerrado",IF(AND(K84&lt;&gt;"",M84&lt;&gt;"",N84&lt;&gt;"",ISNUMBER(O84)),"Cierre documentado","Falta evidencia o aceptación"),"Pendiente")</x:f>
        <x:v>Pendiente</x:v>
      </x:c>
    </x:row>
    <x:row r="85" ht="35" customHeight="1">
      <x:c r="A85" s="12" t="str">
        <x:v>3.07.07</x:v>
      </x:c>
      <x:c r="B85" s="12" t="str">
        <x:v>M07</x:v>
      </x:c>
      <x:c r="C85" s="12" t="str">
        <x:v>Transferir a usuarios y L1</x:v>
      </x:c>
      <x:c r="D85" s="12" t="str">
        <x:v>Veracidad del conteo, autorización de diferencias y conservación de evidencia de auditoría.</x:v>
      </x:c>
      <x:c r="E85" s="12" t="str">
        <x:v>RF</x:v>
      </x:c>
      <x:c r="F85" s="12" t="str">
        <x:v>DP</x:v>
      </x:c>
      <x:c r="G85" s="12" t="str">
        <x:v>3.07.06</x:v>
      </x:c>
      <x:c r="H85" s="12" t="str">
        <x:v>Tras aceptación de módulo</x:v>
      </x:c>
      <x:c r="I85" s="12" t="str">
        <x:v>Usuarios demuestran tareas críticas. Mesa de ayuda y suplente resuelven un caso simulado.</x:v>
      </x:c>
      <x:c r="J85" s="13" t="str">
        <x:v>Propuesto</x:v>
      </x:c>
      <x:c r="K85" s="13" t="str"/>
      <x:c r="L85" s="14"/>
      <x:c r="M85" s="13" t="str"/>
      <x:c r="N85" s="13" t="str"/>
      <x:c r="O85" s="14"/>
      <x:c r="P85" s="12" t="str">
        <x:f>IF(J85="Cerrado",IF(AND(K85&lt;&gt;"",M85&lt;&gt;"",N85&lt;&gt;"",ISNUMBER(O85)),"Cierre documentado","Falta evidencia o aceptación"),"Pendiente")</x:f>
        <x:v>Pendiente</x:v>
      </x:c>
    </x:row>
    <x:row r="86" ht="28" customHeight="1">
      <x:c r="A86" s="11" t="str">
        <x:v>3.07.08</x:v>
      </x:c>
      <x:c r="B86" s="11" t="str">
        <x:v>M07</x:v>
      </x:c>
      <x:c r="C86" s="11" t="str">
        <x:v>Cerrar paquete y recomendar expansión</x:v>
      </x:c>
      <x:c r="D86" s="11" t="str">
        <x:v>Acta de módulo, pendientes y plan de oleada</x:v>
      </x:c>
      <x:c r="E86" s="11" t="str">
        <x:v>RF</x:v>
      </x:c>
      <x:c r="F86" s="11" t="str">
        <x:v>DP</x:v>
      </x:c>
      <x:c r="G86" s="11" t="str">
        <x:v>3.07.07</x:v>
      </x:c>
      <x:c r="H86" s="11" t="str">
        <x:v>Tras aceptación de módulo</x:v>
      </x:c>
      <x:c r="I86" s="11" t="str">
        <x:v>Evidencias completas, soporte habilitado y recomendación para G3.</x:v>
      </x:c>
      <x:c r="J86" s="13" t="str">
        <x:v>Propuesto</x:v>
      </x:c>
      <x:c r="K86" s="13" t="str"/>
      <x:c r="L86" s="14"/>
      <x:c r="M86" s="13" t="str"/>
      <x:c r="N86" s="13" t="str"/>
      <x:c r="O86" s="14"/>
      <x:c r="P86" s="11" t="str">
        <x:f>IF(J86="Cerrado",IF(AND(K86&lt;&gt;"",M86&lt;&gt;"",N86&lt;&gt;"",ISNUMBER(O86)),"Cierre documentado","Falta evidencia o aceptación"),"Pendiente")</x:f>
        <x:v>Pendiente</x:v>
      </x:c>
    </x:row>
    <x:row r="87" ht="35" customHeight="1">
      <x:c r="A87" s="12" t="str">
        <x:v>3.08.01</x:v>
      </x:c>
      <x:c r="B87" s="12" t="str">
        <x:v>M08</x:v>
      </x:c>
      <x:c r="C87" s="12" t="str">
        <x:v>Preparar casos y datos del módulo</x:v>
      </x:c>
      <x:c r="D87" s="12" t="str">
        <x:v>Confirmar la población de PDD de la primera oleada y su interfaz/consumidor, bajo la Estrategia B1.</x:v>
      </x:c>
      <x:c r="E87" s="12" t="str">
        <x:v>RF</x:v>
      </x:c>
      <x:c r="F87" s="12" t="str">
        <x:v>DP</x:v>
      </x:c>
      <x:c r="G87" s="12" t="str">
        <x:v>2.04;2.05;3.02.02;3.10.02</x:v>
      </x:c>
      <x:c r="H87" s="12" t="str">
        <x:v>Preparar antes del paralelo de ese módulo</x:v>
      </x:c>
      <x:c r="I87" s="12" t="str">
        <x:v>Casos representativos con entrada, esperado y responsable de dato.</x:v>
      </x:c>
      <x:c r="J87" s="13" t="str">
        <x:v>Propuesto</x:v>
      </x:c>
      <x:c r="K87" s="13" t="str"/>
      <x:c r="L87" s="14"/>
      <x:c r="M87" s="13" t="str"/>
      <x:c r="N87" s="13" t="str"/>
      <x:c r="O87" s="14"/>
      <x:c r="P87" s="12" t="str">
        <x:f>IF(J87="Cerrado",IF(AND(K87&lt;&gt;"",M87&lt;&gt;"",N87&lt;&gt;"",ISNUMBER(O87)),"Cierre documentado","Falta evidencia o aceptación"),"Pendiente")</x:f>
        <x:v>Pendiente</x:v>
      </x:c>
    </x:row>
    <x:row r="88" ht="35" customHeight="1">
      <x:c r="A88" s="11" t="str">
        <x:v>3.08.02</x:v>
      </x:c>
      <x:c r="B88" s="11" t="str">
        <x:v>M08</x:v>
      </x:c>
      <x:c r="C88" s="11" t="str">
        <x:v>Validar reglas y configuración</x:v>
      </x:c>
      <x:c r="D88" s="11" t="str">
        <x:v>Revalidar cobertura Inventory y resolver excepciones con su dueño.</x:v>
      </x:c>
      <x:c r="E88" s="11" t="str">
        <x:v>RF</x:v>
      </x:c>
      <x:c r="F88" s="11" t="str">
        <x:v>DP</x:v>
      </x:c>
      <x:c r="G88" s="11" t="str">
        <x:v>3.08.01</x:v>
      </x:c>
      <x:c r="H88" s="11" t="str">
        <x:v>Preparar antes del paralelo de ese módulo</x:v>
      </x:c>
      <x:c r="I88" s="11" t="str">
        <x:v>Reglas aprobadas, configuración versionada y diferencias clasificadas.</x:v>
      </x:c>
      <x:c r="J88" s="13" t="str">
        <x:v>Propuesto</x:v>
      </x:c>
      <x:c r="K88" s="13" t="str"/>
      <x:c r="L88" s="14"/>
      <x:c r="M88" s="13" t="str"/>
      <x:c r="N88" s="13" t="str"/>
      <x:c r="O88" s="14"/>
      <x:c r="P88" s="11" t="str">
        <x:f>IF(J88="Cerrado",IF(AND(K88&lt;&gt;"",M88&lt;&gt;"",N88&lt;&gt;"",ISNUMBER(O88)),"Cierre documentado","Falta evidencia o aceptación"),"Pendiente")</x:f>
        <x:v>Pendiente</x:v>
      </x:c>
    </x:row>
    <x:row r="89" ht="35" customHeight="1">
      <x:c r="A89" s="12" t="str">
        <x:v>3.08.03</x:v>
      </x:c>
      <x:c r="B89" s="12" t="str">
        <x:v>M08</x:v>
      </x:c>
      <x:c r="C89" s="12" t="str">
        <x:v>Formar titular y suplente</x:v>
      </x:c>
      <x:c r="D89" s="12" t="str">
        <x:v>Necesidad frente a orden/reserva/viaje, stock neto, PDVB, cobertura, exclusiones y saldo del backlog.</x:v>
      </x:c>
      <x:c r="E89" s="12" t="str">
        <x:v>ZF</x:v>
      </x:c>
      <x:c r="F89" s="12" t="str">
        <x:v>LZ</x:v>
      </x:c>
      <x:c r="G89" s="12" t="str">
        <x:v>3.08.02</x:v>
      </x:c>
      <x:c r="H89" s="12" t="str">
        <x:v>Preparar antes del paralelo de ese módulo</x:v>
      </x:c>
      <x:c r="I89" s="12" t="str">
        <x:v>Titular y suplente completan demostración y práctica individual.</x:v>
      </x:c>
      <x:c r="J89" s="13" t="str">
        <x:v>Propuesto</x:v>
      </x:c>
      <x:c r="K89" s="13" t="str"/>
      <x:c r="L89" s="14"/>
      <x:c r="M89" s="13" t="str"/>
      <x:c r="N89" s="13" t="str"/>
      <x:c r="O89" s="14"/>
      <x:c r="P89" s="12" t="str">
        <x:f>IF(J89="Cerrado",IF(AND(K89&lt;&gt;"",M89&lt;&gt;"",N89&lt;&gt;"",ISNUMBER(O89)),"Cierre documentado","Falta evidencia o aceptación"),"Pendiente")</x:f>
        <x:v>Pendiente</x:v>
      </x:c>
    </x:row>
    <x:row r="90" ht="35" customHeight="1">
      <x:c r="A90" s="11" t="str">
        <x:v>3.08.04</x:v>
      </x:c>
      <x:c r="B90" s="11" t="str">
        <x:v>M08</x:v>
      </x:c>
      <x:c r="C90" s="11" t="str">
        <x:v>Ejecutar UAT y excepciones</x:v>
      </x:c>
      <x:c r="D90" s="11" t="str">
        <x:v>Probar necesidades dirigidas aprobadas y cálculo diario con evidencia.</x:v>
      </x:c>
      <x:c r="E90" s="11" t="str">
        <x:v>RF</x:v>
      </x:c>
      <x:c r="F90" s="11" t="str">
        <x:v>DP</x:v>
      </x:c>
      <x:c r="G90" s="11" t="str">
        <x:v>3.08.03</x:v>
      </x:c>
      <x:c r="H90" s="11" t="str">
        <x:v>Preparar antes del paralelo de ese módulo</x:v>
      </x:c>
      <x:c r="I90" s="11" t="str">
        <x:v>Casos críticos pasan. Defectos y evidencia por ejecución. Reprueba después de correcciones.</x:v>
      </x:c>
      <x:c r="J90" s="13" t="str">
        <x:v>Propuesto</x:v>
      </x:c>
      <x:c r="K90" s="13" t="str"/>
      <x:c r="L90" s="14"/>
      <x:c r="M90" s="13" t="str"/>
      <x:c r="N90" s="13" t="str"/>
      <x:c r="O90" s="14"/>
      <x:c r="P90" s="11" t="str">
        <x:f>IF(J90="Cerrado",IF(AND(K90&lt;&gt;"",M90&lt;&gt;"",N90&lt;&gt;"",ISNUMBER(O90)),"Cierre documentado","Falta evidencia o aceptación"),"Pendiente")</x:f>
        <x:v>Pendiente</x:v>
      </x:c>
    </x:row>
    <x:row r="91" ht="48.5" customHeight="1">
      <x:c r="A91" s="12" t="str">
        <x:v>3.08.05</x:v>
      </x:c>
      <x:c r="B91" s="12" t="str">
        <x:v>M08</x:v>
      </x:c>
      <x:c r="C91" s="12" t="str">
        <x:v>Aceptar UAT y preparación del módulo</x:v>
      </x:c>
      <x:c r="D91" s="12" t="str">
        <x:v>Se cumplen controles vigentes de cobertura y casos dorados. Backlog trazable sin atribuir a PDD funciones de transporte excluidas.</x:v>
      </x:c>
      <x:c r="E91" s="12" t="str">
        <x:v>RF</x:v>
      </x:c>
      <x:c r="F91" s="12" t="str">
        <x:v>DP</x:v>
      </x:c>
      <x:c r="G91" s="12" t="str">
        <x:v>3.08.04</x:v>
      </x:c>
      <x:c r="H91" s="12" t="str">
        <x:v>Preparar antes del paralelo de ese módulo</x:v>
      </x:c>
      <x:c r="I91" s="12" t="str">
        <x:v>Dueño acepta versión y evidencia. Sin defectos críticos/altos abiertos del circuito.</x:v>
      </x:c>
      <x:c r="J91" s="13" t="str">
        <x:v>Propuesto</x:v>
      </x:c>
      <x:c r="K91" s="13" t="str"/>
      <x:c r="L91" s="14"/>
      <x:c r="M91" s="13" t="str"/>
      <x:c r="N91" s="13" t="str"/>
      <x:c r="O91" s="14"/>
      <x:c r="P91" s="12" t="str">
        <x:f>IF(J91="Cerrado",IF(AND(K91&lt;&gt;"",M91&lt;&gt;"",N91&lt;&gt;"",ISNUMBER(O91)),"Cierre documentado","Falta evidencia o aceptación"),"Pendiente")</x:f>
        <x:v>Pendiente</x:v>
      </x:c>
    </x:row>
    <x:row r="92" ht="35" customHeight="1">
      <x:c r="A92" s="11" t="str">
        <x:v>3.08.06</x:v>
      </x:c>
      <x:c r="B92" s="11" t="str">
        <x:v>M08</x:v>
      </x:c>
      <x:c r="C92" s="11" t="str">
        <x:v>Ejecutar paralelo controlado y piloto</x:v>
      </x:c>
      <x:c r="D92" s="11" t="str">
        <x:v>Conciliar consumo y retorno del sistema logístico sólo bajo contrato confirmado.</x:v>
      </x:c>
      <x:c r="E92" s="11" t="str">
        <x:v>RF</x:v>
      </x:c>
      <x:c r="F92" s="11" t="str">
        <x:v>DP</x:v>
      </x:c>
      <x:c r="G92" s="11" t="str">
        <x:v>3.08.05;2.06;2.07;2.09</x:v>
      </x:c>
      <x:c r="H92" s="11" t="str">
        <x:v>Desde 04/11, por módulo preparado</x:v>
      </x:c>
      <x:c r="I92" s="11" t="str">
        <x:v>Smoke aprobado. Ciclos y excepción acordados. DIARCO/SGM conserva validez. Comparación y diferencias documentadas.</x:v>
      </x:c>
      <x:c r="J92" s="13" t="str">
        <x:v>Propuesto</x:v>
      </x:c>
      <x:c r="K92" s="13" t="str"/>
      <x:c r="L92" s="14"/>
      <x:c r="M92" s="13" t="str"/>
      <x:c r="N92" s="13" t="str"/>
      <x:c r="O92" s="14"/>
      <x:c r="P92" s="11" t="str">
        <x:f>IF(J92="Cerrado",IF(AND(K92&lt;&gt;"",M92&lt;&gt;"",N92&lt;&gt;"",ISNUMBER(O92)),"Cierre documentado","Falta evidencia o aceptación"),"Pendiente")</x:f>
        <x:v>Pendiente</x:v>
      </x:c>
    </x:row>
    <x:row r="93" ht="35" customHeight="1">
      <x:c r="A93" s="12" t="str">
        <x:v>3.08.07</x:v>
      </x:c>
      <x:c r="B93" s="12" t="str">
        <x:v>M08</x:v>
      </x:c>
      <x:c r="C93" s="12" t="str">
        <x:v>Transferir a usuarios y L1</x:v>
      </x:c>
      <x:c r="D93" s="12" t="str">
        <x:v>Prioridades de negocio, validación del backlog y decisión sobre excepciones de cobertura.</x:v>
      </x:c>
      <x:c r="E93" s="12" t="str">
        <x:v>RF</x:v>
      </x:c>
      <x:c r="F93" s="12" t="str">
        <x:v>DP</x:v>
      </x:c>
      <x:c r="G93" s="12" t="str">
        <x:v>3.08.06</x:v>
      </x:c>
      <x:c r="H93" s="12" t="str">
        <x:v>Tras aceptación de módulo</x:v>
      </x:c>
      <x:c r="I93" s="12" t="str">
        <x:v>Usuarios demuestran tareas críticas. Mesa de ayuda y suplente resuelven un caso simulado.</x:v>
      </x:c>
      <x:c r="J93" s="13" t="str">
        <x:v>Propuesto</x:v>
      </x:c>
      <x:c r="K93" s="13" t="str"/>
      <x:c r="L93" s="14"/>
      <x:c r="M93" s="13" t="str"/>
      <x:c r="N93" s="13" t="str"/>
      <x:c r="O93" s="14"/>
      <x:c r="P93" s="12" t="str">
        <x:f>IF(J93="Cerrado",IF(AND(K93&lt;&gt;"",M93&lt;&gt;"",N93&lt;&gt;"",ISNUMBER(O93)),"Cierre documentado","Falta evidencia o aceptación"),"Pendiente")</x:f>
        <x:v>Pendiente</x:v>
      </x:c>
    </x:row>
    <x:row r="94" ht="28" customHeight="1">
      <x:c r="A94" s="11" t="str">
        <x:v>3.08.08</x:v>
      </x:c>
      <x:c r="B94" s="11" t="str">
        <x:v>M08</x:v>
      </x:c>
      <x:c r="C94" s="11" t="str">
        <x:v>Cerrar paquete y recomendar expansión</x:v>
      </x:c>
      <x:c r="D94" s="11" t="str">
        <x:v>Acta de módulo, pendientes y plan de oleada</x:v>
      </x:c>
      <x:c r="E94" s="11" t="str">
        <x:v>RF</x:v>
      </x:c>
      <x:c r="F94" s="11" t="str">
        <x:v>DP</x:v>
      </x:c>
      <x:c r="G94" s="11" t="str">
        <x:v>3.08.07</x:v>
      </x:c>
      <x:c r="H94" s="11" t="str">
        <x:v>Tras aceptación de módulo</x:v>
      </x:c>
      <x:c r="I94" s="11" t="str">
        <x:v>Evidencias completas, soporte habilitado y recomendación para G3.</x:v>
      </x:c>
      <x:c r="J94" s="13" t="str">
        <x:v>Propuesto</x:v>
      </x:c>
      <x:c r="K94" s="13" t="str"/>
      <x:c r="L94" s="14"/>
      <x:c r="M94" s="13" t="str"/>
      <x:c r="N94" s="13" t="str"/>
      <x:c r="O94" s="14"/>
      <x:c r="P94" s="11" t="str">
        <x:f>IF(J94="Cerrado",IF(AND(K94&lt;&gt;"",M94&lt;&gt;"",N94&lt;&gt;"",ISNUMBER(O94)),"Cierre documentado","Falta evidencia o aceptación"),"Pendiente")</x:f>
        <x:v>Pendiente</x:v>
      </x:c>
    </x:row>
    <x:row r="95" ht="35" customHeight="1">
      <x:c r="A95" s="12" t="str">
        <x:v>3.09.01</x:v>
      </x:c>
      <x:c r="B95" s="12" t="str">
        <x:v>M09</x:v>
      </x:c>
      <x:c r="C95" s="12" t="str">
        <x:v>Preparar casos y datos del módulo</x:v>
      </x:c>
      <x:c r="D95" s="12" t="str">
        <x:v>Validar con negocio transferencias, acopios, campañas y límites de cada circuito.</x:v>
      </x:c>
      <x:c r="E95" s="12" t="str">
        <x:v>RF</x:v>
      </x:c>
      <x:c r="F95" s="12" t="str">
        <x:v>DP</x:v>
      </x:c>
      <x:c r="G95" s="12" t="str">
        <x:v>2.04;2.05;3.08.04;3.02.02</x:v>
      </x:c>
      <x:c r="H95" s="12" t="str">
        <x:v>Preparar antes del paralelo de ese módulo</x:v>
      </x:c>
      <x:c r="I95" s="12" t="str">
        <x:v>Casos representativos con entrada, esperado y responsable de dato.</x:v>
      </x:c>
      <x:c r="J95" s="13" t="str">
        <x:v>Propuesto</x:v>
      </x:c>
      <x:c r="K95" s="13" t="str"/>
      <x:c r="L95" s="14"/>
      <x:c r="M95" s="13" t="str"/>
      <x:c r="N95" s="13" t="str"/>
      <x:c r="O95" s="14"/>
      <x:c r="P95" s="12" t="str">
        <x:f>IF(J95="Cerrado",IF(AND(K95&lt;&gt;"",M95&lt;&gt;"",N95&lt;&gt;"",ISNUMBER(O95)),"Cierre documentado","Falta evidencia o aceptación"),"Pendiente")</x:f>
        <x:v>Pendiente</x:v>
      </x:c>
    </x:row>
    <x:row r="96" ht="35" customHeight="1">
      <x:c r="A96" s="11" t="str">
        <x:v>3.09.02</x:v>
      </x:c>
      <x:c r="B96" s="11" t="str">
        <x:v>M09</x:v>
      </x:c>
      <x:c r="C96" s="11" t="str">
        <x:v>Validar reglas y configuración</x:v>
      </x:c>
      <x:c r="D96" s="11" t="str">
        <x:v>Acordar con Valkimia/CD interfaz o alternativa Excel, responsables y acuses.</x:v>
      </x:c>
      <x:c r="E96" s="11" t="str">
        <x:v>RF</x:v>
      </x:c>
      <x:c r="F96" s="11" t="str">
        <x:v>DP</x:v>
      </x:c>
      <x:c r="G96" s="11" t="str">
        <x:v>3.09.01</x:v>
      </x:c>
      <x:c r="H96" s="11" t="str">
        <x:v>Preparar antes del paralelo de ese módulo</x:v>
      </x:c>
      <x:c r="I96" s="11" t="str">
        <x:v>Reglas aprobadas, configuración versionada y diferencias clasificadas.</x:v>
      </x:c>
      <x:c r="J96" s="13" t="str">
        <x:v>Propuesto</x:v>
      </x:c>
      <x:c r="K96" s="13" t="str"/>
      <x:c r="L96" s="14"/>
      <x:c r="M96" s="13" t="str"/>
      <x:c r="N96" s="13" t="str"/>
      <x:c r="O96" s="14"/>
      <x:c r="P96" s="11" t="str">
        <x:f>IF(J96="Cerrado",IF(AND(K96&lt;&gt;"",M96&lt;&gt;"",N96&lt;&gt;"",ISNUMBER(O96)),"Cierre documentado","Falta evidencia o aceptación"),"Pendiente")</x:f>
        <x:v>Pendiente</x:v>
      </x:c>
    </x:row>
    <x:row r="97" ht="48.5" customHeight="1">
      <x:c r="A97" s="12" t="str">
        <x:v>3.09.03</x:v>
      </x:c>
      <x:c r="B97" s="12" t="str">
        <x:v>M09</x:v>
      </x:c>
      <x:c r="C97" s="12" t="str">
        <x:v>Formar titular y suplente</x:v>
      </x:c>
      <x:c r="D97" s="12" t="str">
        <x:v>Necesidad, transferencia, viaje y movimiento son objetos distintos. Exportación/importación, acuse y estado oficial durante convivencia.</x:v>
      </x:c>
      <x:c r="E97" s="12" t="str">
        <x:v>ZF</x:v>
      </x:c>
      <x:c r="F97" s="12" t="str">
        <x:v>LZ</x:v>
      </x:c>
      <x:c r="G97" s="12" t="str">
        <x:v>3.09.02</x:v>
      </x:c>
      <x:c r="H97" s="12" t="str">
        <x:v>Preparar antes del paralelo de ese módulo</x:v>
      </x:c>
      <x:c r="I97" s="12" t="str">
        <x:v>Titular y suplente completan demostración y práctica individual.</x:v>
      </x:c>
      <x:c r="J97" s="13" t="str">
        <x:v>Propuesto</x:v>
      </x:c>
      <x:c r="K97" s="13" t="str"/>
      <x:c r="L97" s="14"/>
      <x:c r="M97" s="13" t="str"/>
      <x:c r="N97" s="13" t="str"/>
      <x:c r="O97" s="14"/>
      <x:c r="P97" s="12" t="str">
        <x:f>IF(J97="Cerrado",IF(AND(K97&lt;&gt;"",M97&lt;&gt;"",N97&lt;&gt;"",ISNUMBER(O97)),"Cierre documentado","Falta evidencia o aceptación"),"Pendiente")</x:f>
        <x:v>Pendiente</x:v>
      </x:c>
    </x:row>
    <x:row r="98" ht="35" customHeight="1">
      <x:c r="A98" s="11" t="str">
        <x:v>3.09.04</x:v>
      </x:c>
      <x:c r="B98" s="11" t="str">
        <x:v>M09</x:v>
      </x:c>
      <x:c r="C98" s="11" t="str">
        <x:v>Ejecutar UAT y excepciones</x:v>
      </x:c>
      <x:c r="D98" s="11" t="str">
        <x:v>Ejecutar una transferencia de extremo a extremo con identificadores y cantidades conciliados.</x:v>
      </x:c>
      <x:c r="E98" s="11" t="str">
        <x:v>RF</x:v>
      </x:c>
      <x:c r="F98" s="11" t="str">
        <x:v>DP</x:v>
      </x:c>
      <x:c r="G98" s="11" t="str">
        <x:v>3.09.03</x:v>
      </x:c>
      <x:c r="H98" s="11" t="str">
        <x:v>Preparar antes del paralelo de ese módulo</x:v>
      </x:c>
      <x:c r="I98" s="11" t="str">
        <x:v>Casos críticos pasan. Defectos y evidencia por ejecución. Reprueba después de correcciones.</x:v>
      </x:c>
      <x:c r="J98" s="13" t="str">
        <x:v>Propuesto</x:v>
      </x:c>
      <x:c r="K98" s="13" t="str"/>
      <x:c r="L98" s="14"/>
      <x:c r="M98" s="13" t="str"/>
      <x:c r="N98" s="13" t="str"/>
      <x:c r="O98" s="14"/>
      <x:c r="P98" s="11" t="str">
        <x:f>IF(J98="Cerrado",IF(AND(K98&lt;&gt;"",M98&lt;&gt;"",N98&lt;&gt;"",ISNUMBER(O98)),"Cierre documentado","Falta evidencia o aceptación"),"Pendiente")</x:f>
        <x:v>Pendiente</x:v>
      </x:c>
    </x:row>
    <x:row r="99" ht="48.5" customHeight="1">
      <x:c r="A99" s="12" t="str">
        <x:v>3.09.05</x:v>
      </x:c>
      <x:c r="B99" s="12" t="str">
        <x:v>M09</x:v>
      </x:c>
      <x:c r="C99" s="12" t="str">
        <x:v>Aceptar UAT y preparación del módulo</x:v>
      </x:c>
      <x:c r="D99" s="12" t="str">
        <x:v>El intercambio elegido está validado por Valkimia/CD. Cantidades y documentos concilian en el circuito aprobado, sin atribuir a PDD funciones TMS.</x:v>
      </x:c>
      <x:c r="E99" s="12" t="str">
        <x:v>RF</x:v>
      </x:c>
      <x:c r="F99" s="12" t="str">
        <x:v>DP</x:v>
      </x:c>
      <x:c r="G99" s="12" t="str">
        <x:v>3.09.04</x:v>
      </x:c>
      <x:c r="H99" s="12" t="str">
        <x:v>Preparar antes del paralelo de ese módulo</x:v>
      </x:c>
      <x:c r="I99" s="12" t="str">
        <x:v>Dueño acepta versión y evidencia. Sin defectos críticos/altos abiertos del circuito.</x:v>
      </x:c>
      <x:c r="J99" s="13" t="str">
        <x:v>Propuesto</x:v>
      </x:c>
      <x:c r="K99" s="13" t="str"/>
      <x:c r="L99" s="14"/>
      <x:c r="M99" s="13" t="str"/>
      <x:c r="N99" s="13" t="str"/>
      <x:c r="O99" s="14"/>
      <x:c r="P99" s="12" t="str">
        <x:f>IF(J99="Cerrado",IF(AND(K99&lt;&gt;"",M99&lt;&gt;"",N99&lt;&gt;"",ISNUMBER(O99)),"Cierre documentado","Falta evidencia o aceptación"),"Pendiente")</x:f>
        <x:v>Pendiente</x:v>
      </x:c>
    </x:row>
    <x:row r="100" ht="35" customHeight="1">
      <x:c r="A100" s="11" t="str">
        <x:v>3.09.06</x:v>
      </x:c>
      <x:c r="B100" s="11" t="str">
        <x:v>M09</x:v>
      </x:c>
      <x:c r="C100" s="11" t="str">
        <x:v>Ejecutar paralelo controlado y piloto</x:v>
      </x:c>
      <x:c r="D100" s="11" t="str">
        <x:v>Probar retorno parcial, excepción y recuperación sin duplicar movimientos.</x:v>
      </x:c>
      <x:c r="E100" s="11" t="str">
        <x:v>RF</x:v>
      </x:c>
      <x:c r="F100" s="11" t="str">
        <x:v>DP</x:v>
      </x:c>
      <x:c r="G100" s="11" t="str">
        <x:v>3.09.05;2.06;2.07;2.09;2.13</x:v>
      </x:c>
      <x:c r="H100" s="11" t="str">
        <x:v>Desde 04/11, por módulo preparado</x:v>
      </x:c>
      <x:c r="I100" s="11" t="str">
        <x:v>Smoke aprobado. Ciclos y excepción acordados. DIARCO/SGM conserva validez. Comparación y diferencias documentadas.</x:v>
      </x:c>
      <x:c r="J100" s="13" t="str">
        <x:v>Propuesto</x:v>
      </x:c>
      <x:c r="K100" s="13" t="str"/>
      <x:c r="L100" s="14"/>
      <x:c r="M100" s="13" t="str"/>
      <x:c r="N100" s="13" t="str"/>
      <x:c r="O100" s="14"/>
      <x:c r="P100" s="11" t="str">
        <x:f>IF(J100="Cerrado",IF(AND(K100&lt;&gt;"",M100&lt;&gt;"",N100&lt;&gt;"",ISNUMBER(O100)),"Cierre documentado","Falta evidencia o aceptación"),"Pendiente")</x:f>
        <x:v>Pendiente</x:v>
      </x:c>
    </x:row>
    <x:row r="101" ht="35" customHeight="1">
      <x:c r="A101" s="12" t="str">
        <x:v>3.09.07</x:v>
      </x:c>
      <x:c r="B101" s="12" t="str">
        <x:v>M09</x:v>
      </x:c>
      <x:c r="C101" s="12" t="str">
        <x:v>Transferir a usuarios y L1</x:v>
      </x:c>
      <x:c r="D101" s="12" t="str">
        <x:v>Validación de prioridades, contenido de transferencias y conciliación funcional con CD y Valkimia.</x:v>
      </x:c>
      <x:c r="E101" s="12" t="str">
        <x:v>RF</x:v>
      </x:c>
      <x:c r="F101" s="12" t="str">
        <x:v>DP</x:v>
      </x:c>
      <x:c r="G101" s="12" t="str">
        <x:v>3.09.06</x:v>
      </x:c>
      <x:c r="H101" s="12" t="str">
        <x:v>Tras aceptación de módulo</x:v>
      </x:c>
      <x:c r="I101" s="12" t="str">
        <x:v>Usuarios demuestran tareas críticas. Mesa de ayuda y suplente resuelven un caso simulado.</x:v>
      </x:c>
      <x:c r="J101" s="13" t="str">
        <x:v>Propuesto</x:v>
      </x:c>
      <x:c r="K101" s="13" t="str"/>
      <x:c r="L101" s="14"/>
      <x:c r="M101" s="13" t="str"/>
      <x:c r="N101" s="13" t="str"/>
      <x:c r="O101" s="14"/>
      <x:c r="P101" s="12" t="str">
        <x:f>IF(J101="Cerrado",IF(AND(K101&lt;&gt;"",M101&lt;&gt;"",N101&lt;&gt;"",ISNUMBER(O101)),"Cierre documentado","Falta evidencia o aceptación"),"Pendiente")</x:f>
        <x:v>Pendiente</x:v>
      </x:c>
    </x:row>
    <x:row r="102" ht="28" customHeight="1">
      <x:c r="A102" s="11" t="str">
        <x:v>3.09.08</x:v>
      </x:c>
      <x:c r="B102" s="11" t="str">
        <x:v>M09</x:v>
      </x:c>
      <x:c r="C102" s="11" t="str">
        <x:v>Cerrar paquete y recomendar expansión</x:v>
      </x:c>
      <x:c r="D102" s="11" t="str">
        <x:v>Acta de módulo, pendientes y plan de oleada</x:v>
      </x:c>
      <x:c r="E102" s="11" t="str">
        <x:v>RF</x:v>
      </x:c>
      <x:c r="F102" s="11" t="str">
        <x:v>DP</x:v>
      </x:c>
      <x:c r="G102" s="11" t="str">
        <x:v>3.09.07</x:v>
      </x:c>
      <x:c r="H102" s="11" t="str">
        <x:v>Tras aceptación de módulo</x:v>
      </x:c>
      <x:c r="I102" s="11" t="str">
        <x:v>Evidencias completas, soporte habilitado y recomendación para G3.</x:v>
      </x:c>
      <x:c r="J102" s="13" t="str">
        <x:v>Propuesto</x:v>
      </x:c>
      <x:c r="K102" s="13" t="str"/>
      <x:c r="L102" s="14"/>
      <x:c r="M102" s="13" t="str"/>
      <x:c r="N102" s="13" t="str"/>
      <x:c r="O102" s="14"/>
      <x:c r="P102" s="11" t="str">
        <x:f>IF(J102="Cerrado",IF(AND(K102&lt;&gt;"",M102&lt;&gt;"",N102&lt;&gt;"",ISNUMBER(O102)),"Cierre documentado","Falta evidencia o aceptación"),"Pendiente")</x:f>
        <x:v>Pendiente</x:v>
      </x:c>
    </x:row>
    <x:row r="103" ht="35" customHeight="1">
      <x:c r="A103" s="12" t="str">
        <x:v>3.10.01</x:v>
      </x:c>
      <x:c r="B103" s="12" t="str">
        <x:v>M10</x:v>
      </x:c>
      <x:c r="C103" s="12" t="str">
        <x:v>Preparar casos y datos del módulo</x:v>
      </x:c>
      <x:c r="D103" s="12" t="str">
        <x:v>Identificar fuentes oficiales, cortes, responsables y controles por interfaz.</x:v>
      </x:c>
      <x:c r="E103" s="12" t="str">
        <x:v>RF</x:v>
      </x:c>
      <x:c r="F103" s="12" t="str">
        <x:v>DP</x:v>
      </x:c>
      <x:c r="G103" s="12" t="str">
        <x:v>2.04;2.05</x:v>
      </x:c>
      <x:c r="H103" s="12" t="str">
        <x:v>Preparar antes del paralelo de ese módulo</x:v>
      </x:c>
      <x:c r="I103" s="12" t="str">
        <x:v>Casos representativos con entrada, esperado y responsable de dato.</x:v>
      </x:c>
      <x:c r="J103" s="13" t="str">
        <x:v>Propuesto</x:v>
      </x:c>
      <x:c r="K103" s="13" t="str"/>
      <x:c r="L103" s="14"/>
      <x:c r="M103" s="13" t="str"/>
      <x:c r="N103" s="13" t="str"/>
      <x:c r="O103" s="14"/>
      <x:c r="P103" s="12" t="str">
        <x:f>IF(J103="Cerrado",IF(AND(K103&lt;&gt;"",M103&lt;&gt;"",N103&lt;&gt;"",ISNUMBER(O103)),"Cierre documentado","Falta evidencia o aceptación"),"Pendiente")</x:f>
        <x:v>Pendiente</x:v>
      </x:c>
    </x:row>
    <x:row r="104" ht="35" customHeight="1">
      <x:c r="A104" s="11" t="str">
        <x:v>3.10.02</x:v>
      </x:c>
      <x:c r="B104" s="11" t="str">
        <x:v>M10</x:v>
      </x:c>
      <x:c r="C104" s="11" t="str">
        <x:v>Validar reglas y configuración</x:v>
      </x:c>
      <x:c r="D104" s="11" t="str">
        <x:v>Acordar latencias admisibles, alertas y conciliaciones por ciclo.</x:v>
      </x:c>
      <x:c r="E104" s="11" t="str">
        <x:v>RF</x:v>
      </x:c>
      <x:c r="F104" s="11" t="str">
        <x:v>DP</x:v>
      </x:c>
      <x:c r="G104" s="11" t="str">
        <x:v>3.10.01</x:v>
      </x:c>
      <x:c r="H104" s="11" t="str">
        <x:v>Preparar antes del paralelo de ese módulo</x:v>
      </x:c>
      <x:c r="I104" s="11" t="str">
        <x:v>Reglas aprobadas, configuración versionada y diferencias clasificadas.</x:v>
      </x:c>
      <x:c r="J104" s="13" t="str">
        <x:v>Propuesto</x:v>
      </x:c>
      <x:c r="K104" s="13" t="str"/>
      <x:c r="L104" s="14"/>
      <x:c r="M104" s="13" t="str"/>
      <x:c r="N104" s="13" t="str"/>
      <x:c r="O104" s="14"/>
      <x:c r="P104" s="11" t="str">
        <x:f>IF(J104="Cerrado",IF(AND(K104&lt;&gt;"",M104&lt;&gt;"",N104&lt;&gt;"",ISNUMBER(O104)),"Cierre documentado","Falta evidencia o aceptación"),"Pendiente")</x:f>
        <x:v>Pendiente</x:v>
      </x:c>
    </x:row>
    <x:row r="105" ht="35" customHeight="1">
      <x:c r="A105" s="12" t="str">
        <x:v>3.10.03</x:v>
      </x:c>
      <x:c r="B105" s="12" t="str">
        <x:v>M10</x:v>
      </x:c>
      <x:c r="C105" s="12" t="str">
        <x:v>Formar titular y suplente</x:v>
      </x:c>
      <x:c r="D105" s="12" t="str">
        <x:v>Stock oficial frente a proyecciones, cortes, correlación, conciliación y límites del reproceso.</x:v>
      </x:c>
      <x:c r="E105" s="12" t="str">
        <x:v>ZF</x:v>
      </x:c>
      <x:c r="F105" s="12" t="str">
        <x:v>LZ</x:v>
      </x:c>
      <x:c r="G105" s="12" t="str">
        <x:v>3.10.02</x:v>
      </x:c>
      <x:c r="H105" s="12" t="str">
        <x:v>Preparar antes del paralelo de ese módulo</x:v>
      </x:c>
      <x:c r="I105" s="12" t="str">
        <x:v>Titular y suplente completan demostración y práctica individual.</x:v>
      </x:c>
      <x:c r="J105" s="13" t="str">
        <x:v>Propuesto</x:v>
      </x:c>
      <x:c r="K105" s="13" t="str"/>
      <x:c r="L105" s="14"/>
      <x:c r="M105" s="13" t="str"/>
      <x:c r="N105" s="13" t="str"/>
      <x:c r="O105" s="14"/>
      <x:c r="P105" s="12" t="str">
        <x:f>IF(J105="Cerrado",IF(AND(K105&lt;&gt;"",M105&lt;&gt;"",N105&lt;&gt;"",ISNUMBER(O105)),"Cierre documentado","Falta evidencia o aceptación"),"Pendiente")</x:f>
        <x:v>Pendiente</x:v>
      </x:c>
    </x:row>
    <x:row r="106" ht="35" customHeight="1">
      <x:c r="A106" s="11" t="str">
        <x:v>3.10.04</x:v>
      </x:c>
      <x:c r="B106" s="11" t="str">
        <x:v>M10</x:v>
      </x:c>
      <x:c r="C106" s="11" t="str">
        <x:v>Ejecutar UAT y excepciones</x:v>
      </x:c>
      <x:c r="D106" s="11" t="str">
        <x:v>Verificar una operación y su impacto de extremo a extremo con datos de SGM.</x:v>
      </x:c>
      <x:c r="E106" s="11" t="str">
        <x:v>RF</x:v>
      </x:c>
      <x:c r="F106" s="11" t="str">
        <x:v>DP</x:v>
      </x:c>
      <x:c r="G106" s="11" t="str">
        <x:v>3.10.03</x:v>
      </x:c>
      <x:c r="H106" s="11" t="str">
        <x:v>Preparar antes del paralelo de ese módulo</x:v>
      </x:c>
      <x:c r="I106" s="11" t="str">
        <x:v>Casos críticos pasan. Defectos y evidencia por ejecución. Reprueba después de correcciones.</x:v>
      </x:c>
      <x:c r="J106" s="13" t="str">
        <x:v>Propuesto</x:v>
      </x:c>
      <x:c r="K106" s="13" t="str"/>
      <x:c r="L106" s="14"/>
      <x:c r="M106" s="13" t="str"/>
      <x:c r="N106" s="13" t="str"/>
      <x:c r="O106" s="14"/>
      <x:c r="P106" s="11" t="str">
        <x:f>IF(J106="Cerrado",IF(AND(K106&lt;&gt;"",M106&lt;&gt;"",N106&lt;&gt;"",ISNUMBER(O106)),"Cierre documentado","Falta evidencia o aceptación"),"Pendiente")</x:f>
        <x:v>Pendiente</x:v>
      </x:c>
    </x:row>
    <x:row r="107" ht="48.5" customHeight="1">
      <x:c r="A107" s="12" t="str">
        <x:v>3.10.05</x:v>
      </x:c>
      <x:c r="B107" s="12" t="str">
        <x:v>M10</x:v>
      </x:c>
      <x:c r="C107" s="12" t="str">
        <x:v>Aceptar UAT y preparación del módulo</x:v>
      </x:c>
      <x:c r="D107" s="12" t="str">
        <x:v>Cada interfaz crítica tiene control, dueño y alerta probada. Stock/pendientes concilian bajo cortes acordados y autoridad SGM.</x:v>
      </x:c>
      <x:c r="E107" s="12" t="str">
        <x:v>RF</x:v>
      </x:c>
      <x:c r="F107" s="12" t="str">
        <x:v>DP</x:v>
      </x:c>
      <x:c r="G107" s="12" t="str">
        <x:v>3.10.04</x:v>
      </x:c>
      <x:c r="H107" s="12" t="str">
        <x:v>Preparar antes del paralelo de ese módulo</x:v>
      </x:c>
      <x:c r="I107" s="12" t="str">
        <x:v>Dueño acepta versión y evidencia. Sin defectos críticos/altos abiertos del circuito.</x:v>
      </x:c>
      <x:c r="J107" s="13" t="str">
        <x:v>Propuesto</x:v>
      </x:c>
      <x:c r="K107" s="13" t="str"/>
      <x:c r="L107" s="14"/>
      <x:c r="M107" s="13" t="str"/>
      <x:c r="N107" s="13" t="str"/>
      <x:c r="O107" s="14"/>
      <x:c r="P107" s="12" t="str">
        <x:f>IF(J107="Cerrado",IF(AND(K107&lt;&gt;"",M107&lt;&gt;"",N107&lt;&gt;"",ISNUMBER(O107)),"Cierre documentado","Falta evidencia o aceptación"),"Pendiente")</x:f>
        <x:v>Pendiente</x:v>
      </x:c>
    </x:row>
    <x:row r="108" ht="35" customHeight="1">
      <x:c r="A108" s="11" t="str">
        <x:v>3.10.06</x:v>
      </x:c>
      <x:c r="B108" s="11" t="str">
        <x:v>M10</x:v>
      </x:c>
      <x:c r="C108" s="11" t="str">
        <x:v>Ejecutar paralelo controlado y piloto</x:v>
      </x:c>
      <x:c r="D108" s="11" t="str">
        <x:v>Simular alerta, abrir ticket, recuperar y verificar saldos/documentos.</x:v>
      </x:c>
      <x:c r="E108" s="11" t="str">
        <x:v>RF</x:v>
      </x:c>
      <x:c r="F108" s="11" t="str">
        <x:v>DP</x:v>
      </x:c>
      <x:c r="G108" s="11" t="str">
        <x:v>3.10.05;2.06;2.07;2.09</x:v>
      </x:c>
      <x:c r="H108" s="11" t="str">
        <x:v>Desde 04/11, por módulo preparado</x:v>
      </x:c>
      <x:c r="I108" s="11" t="str">
        <x:v>Smoke aprobado. Ciclos y excepción acordados. DIARCO/SGM conserva validez. Comparación y diferencias documentadas.</x:v>
      </x:c>
      <x:c r="J108" s="13" t="str">
        <x:v>Propuesto</x:v>
      </x:c>
      <x:c r="K108" s="13" t="str"/>
      <x:c r="L108" s="14"/>
      <x:c r="M108" s="13" t="str"/>
      <x:c r="N108" s="13" t="str"/>
      <x:c r="O108" s="14"/>
      <x:c r="P108" s="11" t="str">
        <x:f>IF(J108="Cerrado",IF(AND(K108&lt;&gt;"",M108&lt;&gt;"",N108&lt;&gt;"",ISNUMBER(O108)),"Cierre documentado","Falta evidencia o aceptación"),"Pendiente")</x:f>
        <x:v>Pendiente</x:v>
      </x:c>
    </x:row>
    <x:row r="109" ht="35" customHeight="1">
      <x:c r="A109" s="12" t="str">
        <x:v>3.10.07</x:v>
      </x:c>
      <x:c r="B109" s="12" t="str">
        <x:v>M10</x:v>
      </x:c>
      <x:c r="C109" s="12" t="str">
        <x:v>Transferir a usuarios y L1</x:v>
      </x:c>
      <x:c r="D109" s="12" t="str">
        <x:v>Control de diferencias y decisión de negocio sobre saldos. IT asume monitoreo y recuperación técnica.</x:v>
      </x:c>
      <x:c r="E109" s="12" t="str">
        <x:v>RF</x:v>
      </x:c>
      <x:c r="F109" s="12" t="str">
        <x:v>DP</x:v>
      </x:c>
      <x:c r="G109" s="12" t="str">
        <x:v>3.10.06</x:v>
      </x:c>
      <x:c r="H109" s="12" t="str">
        <x:v>Tras aceptación de módulo</x:v>
      </x:c>
      <x:c r="I109" s="12" t="str">
        <x:v>Usuarios demuestran tareas críticas. Mesa de ayuda y suplente resuelven un caso simulado.</x:v>
      </x:c>
      <x:c r="J109" s="13" t="str">
        <x:v>Propuesto</x:v>
      </x:c>
      <x:c r="K109" s="13" t="str"/>
      <x:c r="L109" s="14"/>
      <x:c r="M109" s="13" t="str"/>
      <x:c r="N109" s="13" t="str"/>
      <x:c r="O109" s="14"/>
      <x:c r="P109" s="12" t="str">
        <x:f>IF(J109="Cerrado",IF(AND(K109&lt;&gt;"",M109&lt;&gt;"",N109&lt;&gt;"",ISNUMBER(O109)),"Cierre documentado","Falta evidencia o aceptación"),"Pendiente")</x:f>
        <x:v>Pendiente</x:v>
      </x:c>
    </x:row>
    <x:row r="110" ht="28" customHeight="1">
      <x:c r="A110" s="11" t="str">
        <x:v>3.10.08</x:v>
      </x:c>
      <x:c r="B110" s="11" t="str">
        <x:v>M10</x:v>
      </x:c>
      <x:c r="C110" s="11" t="str">
        <x:v>Cerrar paquete y recomendar expansión</x:v>
      </x:c>
      <x:c r="D110" s="11" t="str">
        <x:v>Acta de módulo, pendientes y plan de oleada</x:v>
      </x:c>
      <x:c r="E110" s="11" t="str">
        <x:v>RF</x:v>
      </x:c>
      <x:c r="F110" s="11" t="str">
        <x:v>DP</x:v>
      </x:c>
      <x:c r="G110" s="11" t="str">
        <x:v>3.10.07</x:v>
      </x:c>
      <x:c r="H110" s="11" t="str">
        <x:v>Tras aceptación de módulo</x:v>
      </x:c>
      <x:c r="I110" s="11" t="str">
        <x:v>Evidencias completas, soporte habilitado y recomendación para G3.</x:v>
      </x:c>
      <x:c r="J110" s="13" t="str">
        <x:v>Propuesto</x:v>
      </x:c>
      <x:c r="K110" s="13" t="str"/>
      <x:c r="L110" s="14"/>
      <x:c r="M110" s="13" t="str"/>
      <x:c r="N110" s="13" t="str"/>
      <x:c r="O110" s="14"/>
      <x:c r="P110" s="11" t="str">
        <x:f>IF(J110="Cerrado",IF(AND(K110&lt;&gt;"",M110&lt;&gt;"",N110&lt;&gt;"",ISNUMBER(O110)),"Cierre documentado","Falta evidencia o aceptación"),"Pendiente")</x:f>
        <x:v>Pendiente</x:v>
      </x:c>
    </x:row>
    <x:row r="111" ht="48.5" customHeight="1">
      <x:c r="A111" s="12" t="str">
        <x:v>4.01</x:v>
      </x:c>
      <x:c r="B111" s="12" t="str">
        <x:v>TRANSVERSAL</x:v>
      </x:c>
      <x:c r="C111" s="12" t="str">
        <x:v>Consolidar UAT y G1</x:v>
      </x:c>
      <x:c r="D111" s="12" t="str">
        <x:v>Actas de módulos incluidos en piloto</x:v>
      </x:c>
      <x:c r="E111" s="12" t="str">
        <x:v>LD</x:v>
      </x:c>
      <x:c r="F111" s="12" t="str">
        <x:v>SP</x:v>
      </x:c>
      <x:c r="G111" s="12" t="str">
        <x:v>3.01.05;3.02.05;3.03.05;3.04.05;3.05.05;3.06.05;3.07.05;3.08.05;3.09.05;3.10.05</x:v>
      </x:c>
      <x:c r="H111" s="12" t="str">
        <x:v>Antes del piloto</x:v>
      </x:c>
      <x:c r="I111" s="12" t="str">
        <x:v>Sólo se exigen módulos seleccionados. Excluidos requieren decisión de alcance, nunca aprobación ficticia.</x:v>
      </x:c>
      <x:c r="J111" s="13" t="str">
        <x:v>Propuesto</x:v>
      </x:c>
      <x:c r="K111" s="13" t="str"/>
      <x:c r="L111" s="14"/>
      <x:c r="M111" s="13" t="str"/>
      <x:c r="N111" s="13" t="str"/>
      <x:c r="O111" s="14"/>
      <x:c r="P111" s="12" t="str">
        <x:f>IF(J111="Cerrado",IF(AND(K111&lt;&gt;"",M111&lt;&gt;"",N111&lt;&gt;"",ISNUMBER(O111)),"Cierre documentado","Falta evidencia o aceptación"),"Pendiente")</x:f>
        <x:v>Pendiente</x:v>
      </x:c>
    </x:row>
    <x:row r="112" ht="35" customHeight="1">
      <x:c r="A112" s="11" t="str">
        <x:v>4.02</x:v>
      </x:c>
      <x:c r="B112" s="11" t="str">
        <x:v>TRANSVERSAL</x:v>
      </x:c>
      <x:c r="C112" s="11" t="str">
        <x:v>Validar resultado piloto y G2</x:v>
      </x:c>
      <x:c r="D112" s="11" t="str">
        <x:v>Informe de ciclos, incidencias y conciliación</x:v>
      </x:c>
      <x:c r="E112" s="11" t="str">
        <x:v>LD</x:v>
      </x:c>
      <x:c r="F112" s="11" t="str">
        <x:v>SP</x:v>
      </x:c>
      <x:c r="G112" s="11" t="str">
        <x:v>4.01;2.06;2.07</x:v>
      </x:c>
      <x:c r="H112" s="11" t="str">
        <x:v>Después del piloto</x:v>
      </x:c>
      <x:c r="I112" s="11" t="str">
        <x:v>Criterios G2 cumplidos para el alcance seleccionado. Dependencias de módulos aplicables completas.</x:v>
      </x:c>
      <x:c r="J112" s="13" t="str">
        <x:v>Propuesto</x:v>
      </x:c>
      <x:c r="K112" s="13" t="str"/>
      <x:c r="L112" s="14"/>
      <x:c r="M112" s="13" t="str"/>
      <x:c r="N112" s="13" t="str"/>
      <x:c r="O112" s="14"/>
      <x:c r="P112" s="11" t="str">
        <x:f>IF(J112="Cerrado",IF(AND(K112&lt;&gt;"",M112&lt;&gt;"",N112&lt;&gt;"",ISNUMBER(O112)),"Cierre documentado","Falta evidencia o aceptación"),"Pendiente")</x:f>
        <x:v>Pendiente</x:v>
      </x:c>
    </x:row>
    <x:row r="113" ht="35" customHeight="1">
      <x:c r="A113" s="12" t="str">
        <x:v>4.03</x:v>
      </x:c>
      <x:c r="B113" s="12" t="str">
        <x:v>TRANSVERSAL</x:v>
      </x:c>
      <x:c r="C113" s="12" t="str">
        <x:v>Autorizar y ejecutar oleada G3</x:v>
      </x:c>
      <x:c r="D113" s="12" t="str">
        <x:v>Acta go/no-go y bitácora de corte</x:v>
      </x:c>
      <x:c r="E113" s="12" t="str">
        <x:v>LD</x:v>
      </x:c>
      <x:c r="F113" s="12" t="str">
        <x:v>SP</x:v>
      </x:c>
      <x:c r="G113" s="12" t="str">
        <x:v>4.02</x:v>
      </x:c>
      <x:c r="H113" s="12" t="str">
        <x:v>Fecha condicionada a gates</x:v>
      </x:c>
      <x:c r="I113" s="12" t="str">
        <x:v>Dueños aceptan operación, IT confirma contingencia y sponsor autoriza la oleada.</x:v>
      </x:c>
      <x:c r="J113" s="13" t="str">
        <x:v>Propuesto</x:v>
      </x:c>
      <x:c r="K113" s="13" t="str"/>
      <x:c r="L113" s="14"/>
      <x:c r="M113" s="13" t="str"/>
      <x:c r="N113" s="13" t="str"/>
      <x:c r="O113" s="14"/>
      <x:c r="P113" s="12" t="str">
        <x:f>IF(J113="Cerrado",IF(AND(K113&lt;&gt;"",M113&lt;&gt;"",N113&lt;&gt;"",ISNUMBER(O113)),"Cierre documentado","Falta evidencia o aceptación"),"Pendiente")</x:f>
        <x:v>Pendiente</x:v>
      </x:c>
    </x:row>
    <x:row r="114" ht="35" customHeight="1">
      <x:c r="A114" s="11" t="str">
        <x:v>4.04</x:v>
      </x:c>
      <x:c r="B114" s="11" t="str">
        <x:v>TRANSVERSAL</x:v>
      </x:c>
      <x:c r="C114" s="11" t="str">
        <x:v>Medir adopción y estabilizar</x:v>
      </x:c>
      <x:c r="D114" s="11" t="str">
        <x:v>Tablero por módulo/rol/sitio y pendientes</x:v>
      </x:c>
      <x:c r="E114" s="11" t="str">
        <x:v>LD</x:v>
      </x:c>
      <x:c r="F114" s="11" t="str">
        <x:v>DP</x:v>
      </x:c>
      <x:c r="G114" s="11" t="str">
        <x:v>4.03</x:v>
      </x:c>
      <x:c r="H114" s="11" t="str">
        <x:v>Hypercare</x:v>
      </x:c>
      <x:c r="I114" s="11" t="str">
        <x:v>Ciclos previstos ejecutados y tickets seguidos. Se investiga toda operación fuera del circuito acordado.</x:v>
      </x:c>
      <x:c r="J114" s="13" t="str">
        <x:v>Propuesto</x:v>
      </x:c>
      <x:c r="K114" s="13" t="str"/>
      <x:c r="L114" s="14"/>
      <x:c r="M114" s="13" t="str"/>
      <x:c r="N114" s="13" t="str"/>
      <x:c r="O114" s="14"/>
      <x:c r="P114" s="11" t="str">
        <x:f>IF(J114="Cerrado",IF(AND(K114&lt;&gt;"",M114&lt;&gt;"",N114&lt;&gt;"",ISNUMBER(O114)),"Cierre documentado","Falta evidencia o aceptación"),"Pendiente")</x:f>
        <x:v>Pendiente</x:v>
      </x:c>
    </x:row>
    <x:row r="115" ht="35" customHeight="1">
      <x:c r="A115" s="12" t="str">
        <x:v>4.05</x:v>
      </x:c>
      <x:c r="B115" s="12" t="str">
        <x:v>TRANSVERSAL</x:v>
      </x:c>
      <x:c r="C115" s="12" t="str">
        <x:v>Aceptar transferencia G4</x:v>
      </x:c>
      <x:c r="D115" s="12" t="str">
        <x:v>Acta de operación DIARCO y cobertura L1/L2</x:v>
      </x:c>
      <x:c r="E115" s="12" t="str">
        <x:v>LD</x:v>
      </x:c>
      <x:c r="F115" s="12" t="str">
        <x:v>SP</x:v>
      </x:c>
      <x:c r="G115" s="12" t="str">
        <x:v>4.04</x:v>
      </x:c>
      <x:c r="H115" s="12" t="str">
        <x:v>Salida de hypercare</x:v>
      </x:c>
      <x:c r="I115" s="12" t="str">
        <x:v>Cinco días operativos estables propuestos y evidencia de autonomía de titular/suplente.</x:v>
      </x:c>
      <x:c r="J115" s="13" t="str">
        <x:v>Propuesto</x:v>
      </x:c>
      <x:c r="K115" s="13" t="str"/>
      <x:c r="L115" s="14"/>
      <x:c r="M115" s="13" t="str"/>
      <x:c r="N115" s="13" t="str"/>
      <x:c r="O115" s="14"/>
      <x:c r="P115" s="12" t="str">
        <x:f>IF(J115="Cerrado",IF(AND(K115&lt;&gt;"",M115&lt;&gt;"",N115&lt;&gt;"",ISNUMBER(O115)),"Cierre documentado","Falta evidencia o aceptación"),"Pendiente")</x:f>
        <x:v>Pendiente</x:v>
      </x:c>
    </x:row>
    <x:row r="116" ht="35" customHeight="1">
      <x:c r="A116" s="11" t="str">
        <x:v>5.01</x:v>
      </x:c>
      <x:c r="B116" s="11" t="str">
        <x:v>TRANSVERSAL</x:v>
      </x:c>
      <x:c r="C116" s="11" t="str">
        <x:v>Cerrar y aprender</x:v>
      </x:c>
      <x:c r="D116" s="11" t="str">
        <x:v>Informe esfuerzo real, resultados y desvíos</x:v>
      </x:c>
      <x:c r="E116" s="11" t="str">
        <x:v>LZ</x:v>
      </x:c>
      <x:c r="F116" s="11" t="str">
        <x:v>SP</x:v>
      </x:c>
      <x:c r="G116" s="11" t="str">
        <x:v>4.05</x:v>
      </x:c>
      <x:c r="H116" s="11" t="str">
        <x:v>Cierre</x:v>
      </x:c>
      <x:c r="I116" s="11" t="str">
        <x:v>Desvíos clasificados y cada pendiente tiene dueño, fecha y bloque destino.</x:v>
      </x:c>
      <x:c r="J116" s="13" t="str">
        <x:v>Propuesto</x:v>
      </x:c>
      <x:c r="K116" s="13" t="str"/>
      <x:c r="L116" s="14"/>
      <x:c r="M116" s="13" t="str"/>
      <x:c r="N116" s="13" t="str"/>
      <x:c r="O116" s="14"/>
      <x:c r="P116" s="11" t="str">
        <x:f>IF(J116="Cerrado",IF(AND(K116&lt;&gt;"",M116&lt;&gt;"",N116&lt;&gt;"",ISNUMBER(O116)),"Cierre documentado","Falta evidencia o aceptación"),"Pendiente")</x:f>
        <x:v>Pendiente</x:v>
      </x:c>
    </x:row>
    <x:row r="117" ht="35" customHeight="1">
      <x:c r="A117" s="12" t="str">
        <x:v>5.02</x:v>
      </x:c>
      <x:c r="B117" s="12" t="str">
        <x:v>TRANSVERSAL</x:v>
      </x:c>
      <x:c r="C117" s="12" t="str">
        <x:v>Preparar mejora de metodología</x:v>
      </x:c>
      <x:c r="D117" s="12" t="str">
        <x:v>Plantillas sin datos de cliente y propuesta de revisión</x:v>
      </x:c>
      <x:c r="E117" s="12" t="str">
        <x:v>LZ</x:v>
      </x:c>
      <x:c r="F117" s="12" t="str">
        <x:v>LZ</x:v>
      </x:c>
      <x:c r="G117" s="12" t="str">
        <x:v>5.01</x:v>
      </x:c>
      <x:c r="H117" s="12" t="str">
        <x:v>Después del cierre</x:v>
      </x:c>
      <x:c r="I117" s="12" t="str">
        <x:v>Aprendizajes anonimizados. Publicación normativa sólo por propietario del estándar.</x:v>
      </x:c>
      <x:c r="J117" s="13" t="str">
        <x:v>Propuesto</x:v>
      </x:c>
      <x:c r="K117" s="13" t="str"/>
      <x:c r="L117" s="14"/>
      <x:c r="M117" s="13" t="str"/>
      <x:c r="N117" s="13" t="str"/>
      <x:c r="O117" s="14"/>
      <x:c r="P117" s="12" t="str">
        <x:f>IF(J117="Cerrado",IF(AND(K117&lt;&gt;"",M117&lt;&gt;"",N117&lt;&gt;"",ISNUMBER(O117)),"Cierre documentado","Falta evidencia o aceptación"),"Pendiente")</x:f>
        <x:v>Pendiente</x:v>
      </x:c>
    </x:row>
  </x:sheetData>
  <x:conditionalFormatting sqref="P6:P117">
    <x:cfRule type="containsText" dxfId="1" priority="1" operator="containsText" text="Falta"/>
  </x:conditionalFormatting>
  <x:conditionalFormatting sqref="J6:J117">
    <x:cfRule type="containsText" dxfId="2" priority="2" operator="containsText" text="Bloqueado"/>
  </x:conditionalFormatting>
  <x:dataValidations count="1">
    <x:dataValidation type="list" sqref="J6:J117">
      <x:formula1>"Propuesto,En curso,Bloqueado,Cerrado,Diferido"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59c88e8df9417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51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 ht="25" customHeight="1">
      <x:c r="A2" s="2" t="str">
        <x:v>Responsabilidades por actividad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20" customHeight="1">
      <x:c r="A3" s="3" t="str">
        <x:v>Un solo A por fila. DP/RF corresponden al módulo. Nombres y facultades deben confirmarse.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40" customHeight="1">
      <x:c r="A5" s="8" t="str">
        <x:v>ID</x:v>
      </x:c>
      <x:c r="B5" s="8" t="str">
        <x:v>Actividad</x:v>
      </x:c>
      <x:c r="C5" s="8" t="str">
        <x:v>SP</x:v>
      </x:c>
      <x:c r="D5" s="8" t="str">
        <x:v>LD</x:v>
      </x:c>
      <x:c r="E5" s="8" t="str">
        <x:v>DP</x:v>
      </x:c>
      <x:c r="F5" s="8" t="str">
        <x:v>RF</x:v>
      </x:c>
      <x:c r="G5" s="8" t="str">
        <x:v>US</x:v>
      </x:c>
      <x:c r="H5" s="8" t="str">
        <x:v>MD</x:v>
      </x:c>
      <x:c r="I5" s="8" t="str">
        <x:v>IT</x:v>
      </x:c>
      <x:c r="J5" s="8" t="str">
        <x:v>LZ</x:v>
      </x:c>
      <x:c r="K5" s="8" t="str">
        <x:v>ZF</x:v>
      </x:c>
      <x:c r="L5" s="8" t="str">
        <x:v>ZT</x:v>
      </x:c>
      <x:c r="M5" s="8" t="str">
        <x:v>EXT</x:v>
      </x:c>
    </x:row>
    <x:row r="6" ht="28" customHeight="1">
      <x:c r="A6" s="11" t="str">
        <x:v>RC01</x:v>
      </x:c>
      <x:c r="B6" s="11" t="str">
        <x:v>Asignar personas y tiempo DIARCO</x:v>
      </x:c>
      <x:c r="C6" s="16" t="str">
        <x:v>A</x:v>
      </x:c>
      <x:c r="D6" s="16" t="str">
        <x:v>R</x:v>
      </x:c>
      <x:c r="E6" s="16" t="str">
        <x:v>C</x:v>
      </x:c>
      <x:c r="F6" s="16" t="str"/>
      <x:c r="G6" s="16" t="str"/>
      <x:c r="H6" s="16" t="str">
        <x:v>C</x:v>
      </x:c>
      <x:c r="I6" s="16" t="str">
        <x:v>C</x:v>
      </x:c>
      <x:c r="J6" s="16" t="str">
        <x:v>C</x:v>
      </x:c>
      <x:c r="K6" s="16" t="str"/>
      <x:c r="L6" s="16" t="str"/>
      <x:c r="M6" s="16" t="str"/>
    </x:row>
    <x:row r="7" ht="28" customHeight="1">
      <x:c r="A7" s="12" t="str">
        <x:v>RC02</x:v>
      </x:c>
      <x:c r="B7" s="12" t="str">
        <x:v>Aprobar baseline de alcance B1</x:v>
      </x:c>
      <x:c r="C7" s="17" t="str">
        <x:v>A</x:v>
      </x:c>
      <x:c r="D7" s="17" t="str">
        <x:v>R</x:v>
      </x:c>
      <x:c r="E7" s="17" t="str">
        <x:v>C</x:v>
      </x:c>
      <x:c r="F7" s="17" t="str">
        <x:v>I</x:v>
      </x:c>
      <x:c r="G7" s="17" t="str"/>
      <x:c r="H7" s="17" t="str">
        <x:v>I</x:v>
      </x:c>
      <x:c r="I7" s="17" t="str">
        <x:v>I</x:v>
      </x:c>
      <x:c r="J7" s="17" t="str">
        <x:v>R</x:v>
      </x:c>
      <x:c r="K7" s="17" t="str">
        <x:v>C</x:v>
      </x:c>
      <x:c r="L7" s="17" t="str">
        <x:v>C</x:v>
      </x:c>
      <x:c r="M7" s="17" t="str"/>
    </x:row>
    <x:row r="8" ht="28" customHeight="1">
      <x:c r="A8" s="11" t="str">
        <x:v>RC03</x:v>
      </x:c>
      <x:c r="B8" s="11" t="str">
        <x:v>Definir reglas y datos esperados del módulo</x:v>
      </x:c>
      <x:c r="C8" s="16" t="str"/>
      <x:c r="D8" s="16" t="str">
        <x:v>I</x:v>
      </x:c>
      <x:c r="E8" s="16" t="str">
        <x:v>A</x:v>
      </x:c>
      <x:c r="F8" s="16" t="str">
        <x:v>R</x:v>
      </x:c>
      <x:c r="G8" s="16" t="str"/>
      <x:c r="H8" s="16" t="str"/>
      <x:c r="I8" s="16" t="str">
        <x:v>C</x:v>
      </x:c>
      <x:c r="J8" s="16" t="str">
        <x:v>I</x:v>
      </x:c>
      <x:c r="K8" s="16" t="str">
        <x:v>C</x:v>
      </x:c>
      <x:c r="L8" s="16" t="str"/>
      <x:c r="M8" s="16" t="str"/>
    </x:row>
    <x:row r="9" ht="28" customHeight="1">
      <x:c r="A9" s="12" t="str">
        <x:v>RC04</x:v>
      </x:c>
      <x:c r="B9" s="12" t="str">
        <x:v>Configurar y entregar versión para prueba</x:v>
      </x:c>
      <x:c r="C9" s="17" t="str"/>
      <x:c r="D9" s="17" t="str">
        <x:v>I</x:v>
      </x:c>
      <x:c r="E9" s="17" t="str">
        <x:v>I</x:v>
      </x:c>
      <x:c r="F9" s="17" t="str">
        <x:v>C</x:v>
      </x:c>
      <x:c r="G9" s="17" t="str"/>
      <x:c r="H9" s="17" t="str"/>
      <x:c r="I9" s="17" t="str">
        <x:v>C</x:v>
      </x:c>
      <x:c r="J9" s="17" t="str">
        <x:v>A</x:v>
      </x:c>
      <x:c r="K9" s="17" t="str">
        <x:v>R</x:v>
      </x:c>
      <x:c r="L9" s="17" t="str">
        <x:v>R</x:v>
      </x:c>
      <x:c r="M9" s="17" t="str"/>
    </x:row>
    <x:row r="10" ht="28" customHeight="1">
      <x:c r="A10" s="11" t="str">
        <x:v>RC05</x:v>
      </x:c>
      <x:c r="B10" s="11" t="str">
        <x:v>Habilitar accesos y entorno DIARCO</x:v>
      </x:c>
      <x:c r="C10" s="16" t="str"/>
      <x:c r="D10" s="16" t="str">
        <x:v>I</x:v>
      </x:c>
      <x:c r="E10" s="16" t="str"/>
      <x:c r="F10" s="16" t="str">
        <x:v>C</x:v>
      </x:c>
      <x:c r="G10" s="16" t="str"/>
      <x:c r="H10" s="16" t="str">
        <x:v>C</x:v>
      </x:c>
      <x:c r="I10" s="16" t="str">
        <x:v>A/R</x:v>
      </x:c>
      <x:c r="J10" s="16" t="str">
        <x:v>I</x:v>
      </x:c>
      <x:c r="K10" s="16" t="str"/>
      <x:c r="L10" s="16" t="str">
        <x:v>C</x:v>
      </x:c>
      <x:c r="M10" s="16" t="str"/>
    </x:row>
    <x:row r="11" ht="28" customHeight="1">
      <x:c r="A11" s="12" t="str">
        <x:v>RC06</x:v>
      </x:c>
      <x:c r="B11" s="12" t="str">
        <x:v>Certificar datos de negocio</x:v>
      </x:c>
      <x:c r="C11" s="17" t="str"/>
      <x:c r="D11" s="17" t="str">
        <x:v>I</x:v>
      </x:c>
      <x:c r="E11" s="17" t="str">
        <x:v>A</x:v>
      </x:c>
      <x:c r="F11" s="17" t="str">
        <x:v>R</x:v>
      </x:c>
      <x:c r="G11" s="17" t="str"/>
      <x:c r="H11" s="17" t="str"/>
      <x:c r="I11" s="17" t="str">
        <x:v>C</x:v>
      </x:c>
      <x:c r="J11" s="17" t="str">
        <x:v>I</x:v>
      </x:c>
      <x:c r="K11" s="17" t="str">
        <x:v>C</x:v>
      </x:c>
      <x:c r="L11" s="17" t="str">
        <x:v>C</x:v>
      </x:c>
      <x:c r="M11" s="17" t="str"/>
    </x:row>
    <x:row r="12" ht="28" customHeight="1">
      <x:c r="A12" s="11" t="str">
        <x:v>RC07</x:v>
      </x:c>
      <x:c r="B12" s="11" t="str">
        <x:v>Preparar material y formar referentes</x:v>
      </x:c>
      <x:c r="C12" s="16" t="str"/>
      <x:c r="D12" s="16" t="str">
        <x:v>I</x:v>
      </x:c>
      <x:c r="E12" s="16" t="str">
        <x:v>I</x:v>
      </x:c>
      <x:c r="F12" s="16" t="str">
        <x:v>C</x:v>
      </x:c>
      <x:c r="G12" s="16" t="str"/>
      <x:c r="H12" s="16" t="str">
        <x:v>C</x:v>
      </x:c>
      <x:c r="I12" s="16" t="str">
        <x:v>C</x:v>
      </x:c>
      <x:c r="J12" s="16" t="str">
        <x:v>A</x:v>
      </x:c>
      <x:c r="K12" s="16" t="str">
        <x:v>R</x:v>
      </x:c>
      <x:c r="L12" s="16" t="str"/>
      <x:c r="M12" s="16" t="str"/>
    </x:row>
    <x:row r="13" ht="28" customHeight="1">
      <x:c r="A13" s="12" t="str">
        <x:v>RC08</x:v>
      </x:c>
      <x:c r="B13" s="12" t="str">
        <x:v>Validar competencia de referentes</x:v>
      </x:c>
      <x:c r="C13" s="17" t="str"/>
      <x:c r="D13" s="17" t="str">
        <x:v>I</x:v>
      </x:c>
      <x:c r="E13" s="17" t="str">
        <x:v>A</x:v>
      </x:c>
      <x:c r="F13" s="17" t="str">
        <x:v>R</x:v>
      </x:c>
      <x:c r="G13" s="17" t="str">
        <x:v>R</x:v>
      </x:c>
      <x:c r="H13" s="17" t="str">
        <x:v>C</x:v>
      </x:c>
      <x:c r="I13" s="17" t="str"/>
      <x:c r="J13" s="17" t="str">
        <x:v>I</x:v>
      </x:c>
      <x:c r="K13" s="17" t="str">
        <x:v>C</x:v>
      </x:c>
      <x:c r="L13" s="17" t="str"/>
      <x:c r="M13" s="17" t="str"/>
    </x:row>
    <x:row r="14" ht="28" customHeight="1">
      <x:c r="A14" s="11" t="str">
        <x:v>RC09</x:v>
      </x:c>
      <x:c r="B14" s="11" t="str">
        <x:v>Ejecutar UAT y aceptar módulo</x:v>
      </x:c>
      <x:c r="C14" s="16" t="str"/>
      <x:c r="D14" s="16" t="str">
        <x:v>I</x:v>
      </x:c>
      <x:c r="E14" s="16" t="str">
        <x:v>A</x:v>
      </x:c>
      <x:c r="F14" s="16" t="str">
        <x:v>R</x:v>
      </x:c>
      <x:c r="G14" s="16" t="str">
        <x:v>R</x:v>
      </x:c>
      <x:c r="H14" s="16" t="str"/>
      <x:c r="I14" s="16" t="str">
        <x:v>C</x:v>
      </x:c>
      <x:c r="J14" s="16" t="str">
        <x:v>I</x:v>
      </x:c>
      <x:c r="K14" s="16" t="str">
        <x:v>C</x:v>
      </x:c>
      <x:c r="L14" s="16" t="str">
        <x:v>C</x:v>
      </x:c>
      <x:c r="M14" s="16" t="str"/>
    </x:row>
    <x:row r="15" ht="28" customHeight="1">
      <x:c r="A15" s="12" t="str">
        <x:v>RC10</x:v>
      </x:c>
      <x:c r="B15" s="12" t="str">
        <x:v>Corregir defecto de producto</x:v>
      </x:c>
      <x:c r="C15" s="17" t="str"/>
      <x:c r="D15" s="17" t="str">
        <x:v>I</x:v>
      </x:c>
      <x:c r="E15" s="17" t="str">
        <x:v>I</x:v>
      </x:c>
      <x:c r="F15" s="17" t="str">
        <x:v>C</x:v>
      </x:c>
      <x:c r="G15" s="17" t="str"/>
      <x:c r="H15" s="17" t="str">
        <x:v>I</x:v>
      </x:c>
      <x:c r="I15" s="17" t="str">
        <x:v>C</x:v>
      </x:c>
      <x:c r="J15" s="17" t="str">
        <x:v>A</x:v>
      </x:c>
      <x:c r="K15" s="17" t="str">
        <x:v>C</x:v>
      </x:c>
      <x:c r="L15" s="17" t="str">
        <x:v>R</x:v>
      </x:c>
      <x:c r="M15" s="17" t="str"/>
    </x:row>
    <x:row r="16" ht="28" customHeight="1">
      <x:c r="A16" s="11" t="str">
        <x:v>RC11</x:v>
      </x:c>
      <x:c r="B16" s="11" t="str">
        <x:v>Ejecutar piloto funcional</x:v>
      </x:c>
      <x:c r="C16" s="16" t="str"/>
      <x:c r="D16" s="16" t="str">
        <x:v>I</x:v>
      </x:c>
      <x:c r="E16" s="16" t="str">
        <x:v>A</x:v>
      </x:c>
      <x:c r="F16" s="16" t="str">
        <x:v>R</x:v>
      </x:c>
      <x:c r="G16" s="16" t="str">
        <x:v>R</x:v>
      </x:c>
      <x:c r="H16" s="16" t="str">
        <x:v>C</x:v>
      </x:c>
      <x:c r="I16" s="16" t="str">
        <x:v>C</x:v>
      </x:c>
      <x:c r="J16" s="16" t="str">
        <x:v>I</x:v>
      </x:c>
      <x:c r="K16" s="16" t="str">
        <x:v>C</x:v>
      </x:c>
      <x:c r="L16" s="16" t="str"/>
      <x:c r="M16" s="16" t="str"/>
    </x:row>
    <x:row r="17" ht="28" customHeight="1">
      <x:c r="A17" s="12" t="str">
        <x:v>RC12</x:v>
      </x:c>
      <x:c r="B17" s="12" t="str">
        <x:v>Autorizar salida de oleada</x:v>
      </x:c>
      <x:c r="C17" s="17" t="str">
        <x:v>A</x:v>
      </x:c>
      <x:c r="D17" s="17" t="str">
        <x:v>R</x:v>
      </x:c>
      <x:c r="E17" s="17" t="str">
        <x:v>C</x:v>
      </x:c>
      <x:c r="F17" s="17" t="str">
        <x:v>I</x:v>
      </x:c>
      <x:c r="G17" s="17" t="str">
        <x:v>I</x:v>
      </x:c>
      <x:c r="H17" s="17" t="str">
        <x:v>C</x:v>
      </x:c>
      <x:c r="I17" s="17" t="str">
        <x:v>C</x:v>
      </x:c>
      <x:c r="J17" s="17" t="str">
        <x:v>R</x:v>
      </x:c>
      <x:c r="K17" s="17" t="str"/>
      <x:c r="L17" s="17" t="str">
        <x:v>C</x:v>
      </x:c>
      <x:c r="M17" s="17" t="str"/>
    </x:row>
    <x:row r="18" ht="28" customHeight="1">
      <x:c r="A18" s="11" t="str">
        <x:v>RC13</x:v>
      </x:c>
      <x:c r="B18" s="11" t="str">
        <x:v>Ejecutar corte técnico coordinado</x:v>
      </x:c>
      <x:c r="C18" s="16" t="str"/>
      <x:c r="D18" s="16" t="str">
        <x:v>C</x:v>
      </x:c>
      <x:c r="E18" s="16" t="str">
        <x:v>I</x:v>
      </x:c>
      <x:c r="F18" s="16" t="str">
        <x:v>C</x:v>
      </x:c>
      <x:c r="G18" s="16" t="str"/>
      <x:c r="H18" s="16" t="str">
        <x:v>I</x:v>
      </x:c>
      <x:c r="I18" s="16" t="str">
        <x:v>A/R</x:v>
      </x:c>
      <x:c r="J18" s="16" t="str">
        <x:v>C</x:v>
      </x:c>
      <x:c r="K18" s="16" t="str"/>
      <x:c r="L18" s="16" t="str">
        <x:v>R</x:v>
      </x:c>
      <x:c r="M18" s="16" t="str">
        <x:v>C</x:v>
      </x:c>
    </x:row>
    <x:row r="19" ht="28" customHeight="1">
      <x:c r="A19" s="12" t="str">
        <x:v>RC14</x:v>
      </x:c>
      <x:c r="B19" s="12" t="str">
        <x:v>Decidir contingencia o retorno</x:v>
      </x:c>
      <x:c r="C19" s="17" t="str">
        <x:v>A</x:v>
      </x:c>
      <x:c r="D19" s="17" t="str">
        <x:v>R</x:v>
      </x:c>
      <x:c r="E19" s="17" t="str">
        <x:v>C</x:v>
      </x:c>
      <x:c r="F19" s="17" t="str">
        <x:v>I</x:v>
      </x:c>
      <x:c r="G19" s="17" t="str">
        <x:v>I</x:v>
      </x:c>
      <x:c r="H19" s="17" t="str">
        <x:v>C</x:v>
      </x:c>
      <x:c r="I19" s="17" t="str">
        <x:v>R</x:v>
      </x:c>
      <x:c r="J19" s="17" t="str">
        <x:v>R</x:v>
      </x:c>
      <x:c r="K19" s="17" t="str"/>
      <x:c r="L19" s="17" t="str">
        <x:v>C</x:v>
      </x:c>
      <x:c r="M19" s="17" t="str"/>
    </x:row>
    <x:row r="20" ht="28" customHeight="1">
      <x:c r="A20" s="11" t="str">
        <x:v>RC15</x:v>
      </x:c>
      <x:c r="B20" s="11" t="str">
        <x:v>Registrar y seguir ticket L1</x:v>
      </x:c>
      <x:c r="C20" s="16" t="str"/>
      <x:c r="D20" s="16" t="str">
        <x:v>I</x:v>
      </x:c>
      <x:c r="E20" s="16" t="str"/>
      <x:c r="F20" s="16" t="str">
        <x:v>C</x:v>
      </x:c>
      <x:c r="G20" s="16" t="str"/>
      <x:c r="H20" s="16" t="str">
        <x:v>A/R</x:v>
      </x:c>
      <x:c r="I20" s="16" t="str">
        <x:v>C</x:v>
      </x:c>
      <x:c r="J20" s="16" t="str"/>
      <x:c r="K20" s="16" t="str"/>
      <x:c r="L20" s="16" t="str"/>
      <x:c r="M20" s="16" t="str"/>
    </x:row>
    <x:row r="21" ht="28" customHeight="1">
      <x:c r="A21" s="12" t="str">
        <x:v>RC16</x:v>
      </x:c>
      <x:c r="B21" s="12" t="str">
        <x:v>Resolver consulta funcional L1</x:v>
      </x:c>
      <x:c r="C21" s="17" t="str"/>
      <x:c r="D21" s="17" t="str"/>
      <x:c r="E21" s="17" t="str">
        <x:v>A</x:v>
      </x:c>
      <x:c r="F21" s="17" t="str">
        <x:v>R</x:v>
      </x:c>
      <x:c r="G21" s="17" t="str">
        <x:v>I</x:v>
      </x:c>
      <x:c r="H21" s="17" t="str">
        <x:v>C</x:v>
      </x:c>
      <x:c r="I21" s="17" t="str"/>
      <x:c r="J21" s="17" t="str"/>
      <x:c r="K21" s="17" t="str">
        <x:v>C</x:v>
      </x:c>
      <x:c r="L21" s="17" t="str"/>
      <x:c r="M21" s="17" t="str"/>
    </x:row>
    <x:row r="22" ht="28" customHeight="1">
      <x:c r="A22" s="11" t="str">
        <x:v>RC17</x:v>
      </x:c>
      <x:c r="B22" s="11" t="str">
        <x:v>Resolver incidente de infraestructura DIARCO</x:v>
      </x:c>
      <x:c r="C22" s="16" t="str"/>
      <x:c r="D22" s="16" t="str">
        <x:v>I</x:v>
      </x:c>
      <x:c r="E22" s="16" t="str"/>
      <x:c r="F22" s="16" t="str"/>
      <x:c r="G22" s="16" t="str"/>
      <x:c r="H22" s="16" t="str">
        <x:v>C</x:v>
      </x:c>
      <x:c r="I22" s="16" t="str">
        <x:v>A/R</x:v>
      </x:c>
      <x:c r="J22" s="16" t="str">
        <x:v>I</x:v>
      </x:c>
      <x:c r="K22" s="16" t="str"/>
      <x:c r="L22" s="16" t="str">
        <x:v>C</x:v>
      </x:c>
      <x:c r="M22" s="16" t="str">
        <x:v>C</x:v>
      </x:c>
    </x:row>
    <x:row r="23" ht="28" customHeight="1">
      <x:c r="A23" s="12" t="str">
        <x:v>RC18</x:v>
      </x:c>
      <x:c r="B23" s="12" t="str">
        <x:v>Resolver incidente producto L2</x:v>
      </x:c>
      <x:c r="C23" s="17" t="str"/>
      <x:c r="D23" s="17" t="str">
        <x:v>I</x:v>
      </x:c>
      <x:c r="E23" s="17" t="str">
        <x:v>I</x:v>
      </x:c>
      <x:c r="F23" s="17" t="str">
        <x:v>C</x:v>
      </x:c>
      <x:c r="G23" s="17" t="str"/>
      <x:c r="H23" s="17" t="str">
        <x:v>C</x:v>
      </x:c>
      <x:c r="I23" s="17" t="str">
        <x:v>C</x:v>
      </x:c>
      <x:c r="J23" s="17" t="str">
        <x:v>A</x:v>
      </x:c>
      <x:c r="K23" s="17" t="str">
        <x:v>C</x:v>
      </x:c>
      <x:c r="L23" s="17" t="str">
        <x:v>R</x:v>
      </x:c>
      <x:c r="M23" s="17" t="str"/>
    </x:row>
    <x:row r="24" ht="28" customHeight="1">
      <x:c r="A24" s="11" t="str">
        <x:v>RC19</x:v>
      </x:c>
      <x:c r="B24" s="11" t="str">
        <x:v>Capacitar resto de usuarios DIARCO</x:v>
      </x:c>
      <x:c r="C24" s="16" t="str"/>
      <x:c r="D24" s="16" t="str">
        <x:v>C</x:v>
      </x:c>
      <x:c r="E24" s="16" t="str">
        <x:v>A</x:v>
      </x:c>
      <x:c r="F24" s="16" t="str">
        <x:v>R</x:v>
      </x:c>
      <x:c r="G24" s="16" t="str"/>
      <x:c r="H24" s="16" t="str">
        <x:v>I</x:v>
      </x:c>
      <x:c r="I24" s="16" t="str">
        <x:v>I</x:v>
      </x:c>
      <x:c r="J24" s="16" t="str"/>
      <x:c r="K24" s="16" t="str">
        <x:v>C</x:v>
      </x:c>
      <x:c r="L24" s="16" t="str"/>
      <x:c r="M24" s="16" t="str"/>
    </x:row>
    <x:row r="25" ht="28" customHeight="1">
      <x:c r="A25" s="12" t="str">
        <x:v>RC20</x:v>
      </x:c>
      <x:c r="B25" s="12" t="str">
        <x:v>Aceptar operación y cierre</x:v>
      </x:c>
      <x:c r="C25" s="17" t="str">
        <x:v>A</x:v>
      </x:c>
      <x:c r="D25" s="17" t="str">
        <x:v>R</x:v>
      </x:c>
      <x:c r="E25" s="17" t="str">
        <x:v>C</x:v>
      </x:c>
      <x:c r="F25" s="17" t="str">
        <x:v>C</x:v>
      </x:c>
      <x:c r="G25" s="17" t="str">
        <x:v>I</x:v>
      </x:c>
      <x:c r="H25" s="17" t="str">
        <x:v>C</x:v>
      </x:c>
      <x:c r="I25" s="17" t="str">
        <x:v>C</x:v>
      </x:c>
      <x:c r="J25" s="17" t="str">
        <x:v>R</x:v>
      </x:c>
      <x:c r="K25" s="17" t="str"/>
      <x:c r="L25" s="17" t="str"/>
      <x:c r="M25" s="17" t="str"/>
    </x:row>
    <x:row r="26" ht="28" customHeight="1">
      <x:c r="A26" s="11" t="str">
        <x:v>RC21</x:v>
      </x:c>
      <x:c r="B26" s="11" t="str">
        <x:v>Consolidar aprendizajes reutilizables</x:v>
      </x:c>
      <x:c r="C26" s="16" t="str">
        <x:v>I</x:v>
      </x:c>
      <x:c r="D26" s="16" t="str">
        <x:v>C</x:v>
      </x:c>
      <x:c r="E26" s="16" t="str">
        <x:v>C</x:v>
      </x:c>
      <x:c r="F26" s="16" t="str">
        <x:v>C</x:v>
      </x:c>
      <x:c r="G26" s="16" t="str"/>
      <x:c r="H26" s="16" t="str">
        <x:v>C</x:v>
      </x:c>
      <x:c r="I26" s="16" t="str">
        <x:v>C</x:v>
      </x:c>
      <x:c r="J26" s="16" t="str">
        <x:v>A</x:v>
      </x:c>
      <x:c r="K26" s="16" t="str">
        <x:v>R</x:v>
      </x:c>
      <x:c r="L26" s="16" t="str">
        <x:v>R</x:v>
      </x:c>
      <x:c r="M26" s="16" t="str"/>
    </x:row>
  </x:sheetData>
  <x:pageMargins left="0.7" right="0.7" top="0.75" bottom="0.75" header="0.3" footer="0.3"/>
  <x:tableParts count="1">
    <x:tablePart xmlns:r="http://schemas.openxmlformats.org/officeDocument/2006/relationships" r:id="R5ec4c4ec934e4a4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8" hidden="0" customWidth="1"/>
    <x:col min="3" max="3" width="49" hidden="0" customWidth="1"/>
    <x:col min="4" max="4" width="34" hidden="0" customWidth="1"/>
    <x:col min="5" max="5" width="76" hidden="0" customWidth="1"/>
    <x:col min="6" max="6" width="22" hidden="0" customWidth="1"/>
    <x:col min="7" max="7" width="22" hidden="0" customWidth="1"/>
    <x:col min="8" max="8" width="27" hidden="0" customWidth="1"/>
    <x:col min="9" max="9" width="17" hidden="0" customWidth="1"/>
    <x:col min="10" max="10" width="55" hidden="0" customWidth="1"/>
    <x:col min="11" max="11" width="3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5" customHeight="1">
      <x:c r="A2" s="2" t="str">
        <x:v>GAPS y decisiones de alcance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0" customHeight="1">
      <x:c r="A3" s="3" t="str">
        <x:v>Clasificación inicial basada en antecedentes. Decisión final y evidencia a completar.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8" t="str">
        <x:v>GAP</x:v>
      </x:c>
      <x:c r="B5" s="8" t="str">
        <x:v>Módulo</x:v>
      </x:c>
      <x:c r="C5" s="8" t="str">
        <x:v>Capacidad / pedido</x:v>
      </x:c>
      <x:c r="D5" s="8" t="str">
        <x:v>Clasificación documentada</x:v>
      </x:c>
      <x:c r="E5" s="8" t="str">
        <x:v>Condición / detalle pendiente</x:v>
      </x:c>
      <x:c r="F5" s="8" t="str">
        <x:v>Fuentes</x:v>
      </x:c>
      <x:c r="G5" s="8" t="str">
        <x:v>Decisión final</x:v>
      </x:c>
      <x:c r="H5" s="8" t="str">
        <x:v>Dueño de decisión</x:v>
      </x:c>
      <x:c r="I5" s="8" t="str">
        <x:v>Fecha</x:v>
      </x:c>
      <x:c r="J5" s="8" t="str">
        <x:v>Motivo / impacto</x:v>
      </x:c>
      <x:c r="K5" s="8" t="str">
        <x:v>Evidencia</x:v>
      </x:c>
    </x:row>
    <x:row r="6" ht="28" customHeight="1">
      <x:c r="A6" s="11" t="str">
        <x:v>GAP-01</x:v>
      </x:c>
      <x:c r="B6" s="11" t="str">
        <x:v>M03</x:v>
      </x:c>
      <x:c r="C6" s="11" t="str">
        <x:v>Reglas y descuentos en listas por sitio/grupo</x:v>
      </x:c>
      <x:c r="D6" s="11" t="str">
        <x:v>Pendiente</x:v>
      </x:c>
      <x:c r="E6" s="11" t="str">
        <x:v>Semántica y casos dorados</x:v>
      </x:c>
      <x:c r="F6" s="11" t="str">
        <x:v>S06</x:v>
      </x:c>
      <x:c r="G6" s="13" t="str"/>
      <x:c r="H6" s="13" t="str"/>
      <x:c r="I6" s="14"/>
      <x:c r="J6" s="13" t="str"/>
      <x:c r="K6" s="13" t="str"/>
    </x:row>
    <x:row r="7" ht="28" customHeight="1">
      <x:c r="A7" s="12" t="str">
        <x:v>GAP-02</x:v>
      </x:c>
      <x:c r="B7" s="12" t="str">
        <x:v>M04</x:v>
      </x:c>
      <x:c r="C7" s="12" t="str">
        <x:v>Aprobación automática por días de stock/monto</x:v>
      </x:c>
      <x:c r="D7" s="12" t="str">
        <x:v>Pendiente</x:v>
      </x:c>
      <x:c r="E7" s="12" t="str">
        <x:v>Umbral, autoridad y excepciones sin cerrar</x:v>
      </x:c>
      <x:c r="F7" s="12" t="str">
        <x:v>S06</x:v>
      </x:c>
      <x:c r="G7" s="13" t="str"/>
      <x:c r="H7" s="13" t="str"/>
      <x:c r="I7" s="14"/>
      <x:c r="J7" s="13" t="str"/>
      <x:c r="K7" s="13" t="str"/>
    </x:row>
    <x:row r="8" ht="35" customHeight="1">
      <x:c r="A8" s="11" t="str">
        <x:v>GAP-03</x:v>
      </x:c>
      <x:c r="B8" s="11" t="str">
        <x:v>M05</x:v>
      </x:c>
      <x:c r="C8" s="11" t="str">
        <x:v>OC madre e hijas desde recepción</x:v>
      </x:c>
      <x:c r="D8" s="11" t="str">
        <x:v>B1 documentado, reglas por cerrar</x:v>
      </x:c>
      <x:c r="E8" s="11" t="str">
        <x:v>S16 documenta validación OC madre/PDA. Confirmar vigencia/cambio de lista y saldo antes de aceptarla.</x:v>
      </x:c>
      <x:c r="F8" s="11" t="str">
        <x:v>S06; S16</x:v>
      </x:c>
      <x:c r="G8" s="13" t="str"/>
      <x:c r="H8" s="13" t="str"/>
      <x:c r="I8" s="14"/>
      <x:c r="J8" s="13" t="str"/>
      <x:c r="K8" s="13" t="str"/>
    </x:row>
    <x:row r="9" ht="35" customHeight="1">
      <x:c r="A9" s="12" t="str">
        <x:v>GAP-04</x:v>
      </x:c>
      <x:c r="B9" s="12" t="str">
        <x:v>M08</x:v>
      </x:c>
      <x:c r="C9" s="12" t="str">
        <x:v>Redespacho y retorno de Valkimia</x:v>
      </x:c>
      <x:c r="D9" s="12" t="str">
        <x:v>B1 documentado, contrato pendiente</x:v>
      </x:c>
      <x:c r="E9" s="12" t="str">
        <x:v>Redespacho prioritario documentado. Verificar devolución VKM comprometida 27/10 y distinguir preparado/despachado/no preparado.</x:v>
      </x:c>
      <x:c r="F9" s="12" t="str">
        <x:v>S06; S07; S16; S17</x:v>
      </x:c>
      <x:c r="G9" s="13" t="str"/>
      <x:c r="H9" s="13" t="str"/>
      <x:c r="I9" s="14"/>
      <x:c r="J9" s="13" t="str"/>
      <x:c r="K9" s="13" t="str"/>
    </x:row>
    <x:row r="10" ht="35" customHeight="1">
      <x:c r="A10" s="11" t="str">
        <x:v>GAP-05</x:v>
      </x:c>
      <x:c r="B10" s="11" t="str">
        <x:v>M08</x:v>
      </x:c>
      <x:c r="C10" s="11" t="str">
        <x:v>Optimización avanzada TMS/cubicaje/camiones</x:v>
      </x:c>
      <x:c r="D10" s="11" t="str">
        <x:v>B2 propuesto</x:v>
      </x:c>
      <x:c r="E10" s="11" t="str">
        <x:v>La planificación básica de transferencias es B1 (M09). Optimización avanzada no se agrega a PDD.</x:v>
      </x:c>
      <x:c r="F10" s="11" t="str">
        <x:v>S06; S07</x:v>
      </x:c>
      <x:c r="G10" s="13" t="str"/>
      <x:c r="H10" s="13" t="str"/>
      <x:c r="I10" s="14"/>
      <x:c r="J10" s="13" t="str"/>
      <x:c r="K10" s="13" t="str"/>
    </x:row>
    <x:row r="11" ht="35" customHeight="1">
      <x:c r="A11" s="12" t="str">
        <x:v>GAP-06</x:v>
      </x:c>
      <x:c r="B11" s="12" t="str">
        <x:v>M08</x:v>
      </x:c>
      <x:c r="C11" s="12" t="str">
        <x:v>Cobertura Inventory para cálculo PDD</x:v>
      </x:c>
      <x:c r="D11" s="12" t="str">
        <x:v>B1 detalle pendiente</x:v>
      </x:c>
      <x:c r="E11" s="12" t="str">
        <x:v>Revalidar ambiente/cobertura actual. No usar la foto del 29/10 como gate futuro.</x:v>
      </x:c>
      <x:c r="F11" s="12" t="str">
        <x:v>S08</x:v>
      </x:c>
      <x:c r="G11" s="13" t="str"/>
      <x:c r="H11" s="13" t="str"/>
      <x:c r="I11" s="14"/>
      <x:c r="J11" s="13" t="str"/>
      <x:c r="K11" s="13" t="str"/>
    </x:row>
    <x:row r="12" ht="35" customHeight="1">
      <x:c r="A12" s="11" t="str">
        <x:v>GAP-07</x:v>
      </x:c>
      <x:c r="B12" s="11" t="str">
        <x:v>TRANSVERSAL</x:v>
      </x:c>
      <x:c r="C12" s="11" t="str">
        <x:v>Precio de venta, márgenes y costos avanzados</x:v>
      </x:c>
      <x:c r="D12" s="11" t="str">
        <x:v>B2 según Estrategia</x:v>
      </x:c>
      <x:c r="E12" s="11" t="str">
        <x:v>Consolidación posterior: kardex, valorización y precios de venta. No confundir con lista de compra.</x:v>
      </x:c>
      <x:c r="F12" s="11" t="str">
        <x:v>S04; S05</x:v>
      </x:c>
      <x:c r="G12" s="13" t="str"/>
      <x:c r="H12" s="13" t="str"/>
      <x:c r="I12" s="14"/>
      <x:c r="J12" s="13" t="str"/>
      <x:c r="K12" s="13" t="str"/>
    </x:row>
    <x:row r="13" ht="28" customHeight="1">
      <x:c r="A13" s="12" t="str">
        <x:v>GAP-08</x:v>
      </x:c>
      <x:c r="B13" s="12" t="str">
        <x:v>M06</x:v>
      </x:c>
      <x:c r="C13" s="12" t="str">
        <x:v>Recepciones y alcance de convivencia SGM</x:v>
      </x:c>
      <x:c r="D13" s="12" t="str">
        <x:v>B1 detalle pendiente</x:v>
      </x:c>
      <x:c r="E13" s="12" t="str">
        <x:v>Confirmar etapa, pilotos y autoridad de stock/pendientes</x:v>
      </x:c>
      <x:c r="F13" s="12" t="str">
        <x:v>S05; S06</x:v>
      </x:c>
      <x:c r="G13" s="13" t="str"/>
      <x:c r="H13" s="13" t="str"/>
      <x:c r="I13" s="14"/>
      <x:c r="J13" s="13" t="str"/>
      <x:c r="K13" s="13" t="str"/>
    </x:row>
    <x:row r="14" ht="28" customHeight="1">
      <x:c r="A14" s="11" t="str">
        <x:v>GAP-09</x:v>
      </x:c>
      <x:c r="B14" s="11" t="str">
        <x:v>M01</x:v>
      </x:c>
      <x:c r="C14" s="11" t="str">
        <x:v>Productos hermanos y sustitutos</x:v>
      </x:c>
      <x:c r="D14" s="11" t="str">
        <x:v>Pendiente</x:v>
      </x:c>
      <x:c r="E14" s="11" t="str">
        <x:v>Definir resultado observable, consumidor y bloque</x:v>
      </x:c>
      <x:c r="F14" s="11" t="str">
        <x:v>S06</x:v>
      </x:c>
      <x:c r="G14" s="13" t="str"/>
      <x:c r="H14" s="13" t="str"/>
      <x:c r="I14" s="14"/>
      <x:c r="J14" s="13" t="str"/>
      <x:c r="K14" s="13" t="str"/>
    </x:row>
    <x:row r="15" ht="35" customHeight="1">
      <x:c r="A15" s="12" t="str">
        <x:v>GAP-10</x:v>
      </x:c>
      <x:c r="B15" s="12" t="str">
        <x:v>M04</x:v>
      </x:c>
      <x:c r="C15" s="12" t="str">
        <x:v>Migración QX y reposición automática</x:v>
      </x:c>
      <x:c r="D15" s="12" t="str">
        <x:v>B2 según Pendientes, ratificar</x:v>
      </x:c>
      <x:c r="E15" s="12" t="str">
        <x:v>No confundir uso del sugerido en B1 con cambio del motor/reposición automática legado.</x:v>
      </x:c>
      <x:c r="F15" s="12" t="str">
        <x:v>S26</x:v>
      </x:c>
      <x:c r="G15" s="13" t="str"/>
      <x:c r="H15" s="13" t="str"/>
      <x:c r="I15" s="14"/>
      <x:c r="J15" s="13" t="str"/>
      <x:c r="K15" s="13" t="str"/>
    </x:row>
    <x:row r="16" ht="35" customHeight="1">
      <x:c r="A16" s="11" t="str">
        <x:v>GAP-11</x:v>
      </x:c>
      <x:c r="B16" s="11" t="str">
        <x:v>M06</x:v>
      </x:c>
      <x:c r="C16" s="11" t="str">
        <x:v>Recuperación integral posterior al incidente</x:v>
      </x:c>
      <x:c r="D16" s="11" t="str">
        <x:v>B1 prerrequisito</x:v>
      </x:c>
      <x:c r="E16" s="11" t="str">
        <x:v>Obtener evidencia de cierre de los compromisos 26–27/10. Autorización, remitos y numeración SGM.</x:v>
      </x:c>
      <x:c r="F16" s="11" t="str">
        <x:v>S19; S20; S27</x:v>
      </x:c>
      <x:c r="G16" s="13" t="str"/>
      <x:c r="H16" s="13" t="str"/>
      <x:c r="I16" s="14"/>
      <x:c r="J16" s="13" t="str"/>
      <x:c r="K16" s="13" t="str"/>
    </x:row>
    <x:row r="17" ht="35" customHeight="1">
      <x:c r="A17" s="12" t="str">
        <x:v>GAP-12</x:v>
      </x:c>
      <x:c r="B17" s="12" t="str">
        <x:v>M07</x:v>
      </x:c>
      <x:c r="C17" s="12" t="str">
        <x:v>Confiabilidad del stock inicial</x:v>
      </x:c>
      <x:c r="D17" s="12" t="str">
        <x:v>B1 prerrequisito</x:v>
      </x:c>
      <x:c r="E17" s="12" t="str">
        <x:v>Regularizar movimientos antes de interpretar diferencias. Autoridad SGM no equivale a saldo ya conciliado.</x:v>
      </x:c>
      <x:c r="F17" s="12" t="str">
        <x:v>S19; S27</x:v>
      </x:c>
      <x:c r="G17" s="13" t="str"/>
      <x:c r="H17" s="13" t="str"/>
      <x:c r="I17" s="14"/>
      <x:c r="J17" s="13" t="str"/>
      <x:c r="K17" s="13" t="str"/>
    </x:row>
    <x:row r="18" ht="35" customHeight="1">
      <x:c r="A18" s="11" t="str">
        <x:v>GAP-13</x:v>
      </x:c>
      <x:c r="B18" s="11" t="str">
        <x:v>M02</x:v>
      </x:c>
      <x:c r="C18" s="11" t="str">
        <x:v>Modelo final clusters/segmentos</x:v>
      </x:c>
      <x:c r="D18" s="11" t="str">
        <x:v>B1 detalle pendiente</x:v>
      </x:c>
      <x:c r="E18" s="11" t="str">
        <x:v>Simular categoría real con Liliana. Seis segmentos no son decisión definitiva.</x:v>
      </x:c>
      <x:c r="F18" s="11" t="str">
        <x:v>S28</x:v>
      </x:c>
      <x:c r="G18" s="13" t="str"/>
      <x:c r="H18" s="13" t="str"/>
      <x:c r="I18" s="14"/>
      <x:c r="J18" s="13" t="str"/>
      <x:c r="K18" s="13" t="str"/>
    </x:row>
  </x:sheetData>
  <x:dataValidations count="1">
    <x:dataValidation type="list" sqref="G6:G18">
      <x:formula1>"B1,B2,B3,Excluido,Pendiente"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4cc2be20024ca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18" hidden="0" customWidth="1"/>
    <x:col min="3" max="3" width="42" hidden="0" customWidth="1"/>
    <x:col min="4" max="4" width="14" hidden="0" customWidth="1"/>
    <x:col min="5" max="5" width="65" hidden="0" customWidth="1"/>
    <x:col min="6" max="6" width="65" hidden="0" customWidth="1"/>
    <x:col min="7" max="7" width="80" hidden="0" customWidth="1"/>
    <x:col min="8" max="8" width="12" hidden="0" customWidth="1"/>
    <x:col min="9" max="9" width="12" hidden="0" customWidth="1"/>
    <x:col min="10" max="10" width="18" hidden="0" customWidth="1"/>
    <x:col min="11" max="11" width="18" hidden="0" customWidth="1"/>
    <x:col min="12" max="12" width="34" hidden="0" customWidth="1"/>
    <x:col min="13" max="13" width="26" hidden="0" customWidth="1"/>
    <x:col min="14" max="14" width="18" hidden="0" customWidth="1"/>
    <x:col min="15" max="15" width="65" hidden="0" customWidth="1"/>
    <x:col min="16" max="16" width="38" hidden="0" customWidth="1"/>
    <x:col min="17" max="17" width="24" hidden="0" customWidth="1"/>
    <x:col min="18" max="18" width="20" hidden="0" customWidth="1"/>
    <x:col min="19" max="19" width="27" hidden="0" customWidth="1"/>
    <x:col min="20" max="20" width="21" hidden="0" customWidth="1"/>
    <x:col min="21" max="21" width="35" hidden="0" customWidth="1"/>
    <x:col min="22" max="22" width="20" hidden="0" customWidth="1"/>
    <x:col min="23" max="23" width="29" hidden="0" customWidth="1"/>
    <x:col min="24" max="24" width="2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</x:row>
    <x:row r="2" ht="25" customHeight="1">
      <x:c r="A2" s="2" t="str">
        <x:v>Pruebas de aceptación y smoke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</x:row>
    <x:row r="3" ht="20" customHeight="1">
      <x:c r="A3" s="3" t="str">
        <x:v>Acordar esperado antes de ejecutar. Reprueba: nueva fila con ID propio, conservando la ejecución anterior.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</x:row>
    <x:row r="5" ht="40" customHeight="1">
      <x:c r="A5" s="8" t="str">
        <x:v>Caso / ejecución</x:v>
      </x:c>
      <x:c r="B5" s="8" t="str">
        <x:v>Módulo</x:v>
      </x:c>
      <x:c r="C5" s="8" t="str">
        <x:v>Escenario</x:v>
      </x:c>
      <x:c r="D5" s="8" t="str">
        <x:v>Criticidad</x:v>
      </x:c>
      <x:c r="E5" s="8" t="str">
        <x:v>Precondiciones / dataset</x:v>
      </x:c>
      <x:c r="F5" s="8" t="str">
        <x:v>Pasos</x:v>
      </x:c>
      <x:c r="G5" s="8" t="str">
        <x:v>Resultado esperado a aprobar</x:v>
      </x:c>
      <x:c r="H5" s="8" t="str">
        <x:v>R ejecuta</x:v>
      </x:c>
      <x:c r="I5" s="8" t="str">
        <x:v>A acepta</x:v>
      </x:c>
      <x:c r="J5" s="8" t="str">
        <x:v>Versión</x:v>
      </x:c>
      <x:c r="K5" s="8" t="str">
        <x:v>Ambiente</x:v>
      </x:c>
      <x:c r="L5" s="8" t="str">
        <x:v>Dataset / corte</x:v>
      </x:c>
      <x:c r="M5" s="8" t="str">
        <x:v>Ejecutado por</x:v>
      </x:c>
      <x:c r="N5" s="8" t="str">
        <x:v>Fecha ejecución</x:v>
      </x:c>
      <x:c r="O5" s="8" t="str">
        <x:v>Resultado real</x:v>
      </x:c>
      <x:c r="P5" s="8" t="str">
        <x:v>Evidencia</x:v>
      </x:c>
      <x:c r="Q5" s="8" t="str">
        <x:v>Defecto</x:v>
      </x:c>
      <x:c r="R5" s="8" t="str">
        <x:v>Dictamen</x:v>
      </x:c>
      <x:c r="S5" s="8" t="str">
        <x:v>Aceptado por</x:v>
      </x:c>
      <x:c r="T5" s="8" t="str">
        <x:v>Estado ejecución</x:v>
      </x:c>
      <x:c r="U5" s="8" t="str">
        <x:v>Control de evidencia</x:v>
      </x:c>
      <x:c r="V5" s="8" t="str">
        <x:v>Fecha aceptación</x:v>
      </x:c>
      <x:c r="W5" s="8" t="str">
        <x:v>Esperado aprobado por</x:v>
      </x:c>
      <x:c r="X5" s="8" t="str">
        <x:v>Fecha validación esperado</x:v>
      </x:c>
    </x:row>
    <x:row r="6" ht="35" customHeight="1">
      <x:c r="A6" s="11" t="str">
        <x:v>UAT-M01-1</x:v>
      </x:c>
      <x:c r="B6" s="11" t="str">
        <x:v>M01</x:v>
      </x:c>
      <x:c r="C6" s="11" t="str">
        <x:v>Alta y cambio autorizados</x:v>
      </x:c>
      <x:c r="D6" s="11" t="str">
        <x:v>Crítica</x:v>
      </x:c>
      <x:c r="E6" s="11" t="str">
        <x:v>Artículo de prueba con EAN y proveedor válidos</x:v>
      </x:c>
      <x:c r="F6" s="11" t="str">
        <x:v>Crear, modificar y consultar en destino</x:v>
      </x:c>
      <x:c r="G6" s="11" t="str">
        <x:v>Un solo artículo. Campos críticos y vínculo de sincronización coinciden con el resultado esperado.</x:v>
      </x:c>
      <x:c r="H6" s="11" t="str">
        <x:v>RF</x:v>
      </x:c>
      <x:c r="I6" s="11" t="str">
        <x:v>DP</x:v>
      </x:c>
      <x:c r="J6" s="13" t="str"/>
      <x:c r="K6" s="13" t="str"/>
      <x:c r="L6" s="13" t="str"/>
      <x:c r="M6" s="13" t="str"/>
      <x:c r="N6" s="14" t="str"/>
      <x:c r="O6" s="13" t="str"/>
      <x:c r="P6" s="13" t="str"/>
      <x:c r="Q6" s="13" t="str"/>
      <x:c r="R6" s="13" t="str"/>
      <x:c r="S6" s="13" t="str"/>
      <x:c r="T6" s="13" t="str">
        <x:v>No ejecutado</x:v>
      </x:c>
      <x:c r="U6" s="11" t="str">
        <x:f>IF(T6&lt;&gt;"Ejecutado","Sin ejecutar",IF(AND(J6&lt;&gt;"",K6&lt;&gt;"",L6&lt;&gt;"",M6&lt;&gt;"",ISNUMBER(N6),O6&lt;&gt;"",P6&lt;&gt;"",R6&lt;&gt;"",S6&lt;&gt;"",ISNUMBER(V6),W6&lt;&gt;"",ISNUMBER(X6)),IF(R6="Aprobado","Ejecución aceptada","Requiere acción"),"Falta evidencia o aceptación"))</x:f>
        <x:v>Sin ejecutar</x:v>
      </x:c>
      <x:c r="V6" s="14"/>
      <x:c r="W6" s="13" t="str"/>
      <x:c r="X6" s="14"/>
    </x:row>
    <x:row r="7" ht="35" customHeight="1">
      <x:c r="A7" s="12" t="str">
        <x:v>UAT-M01-2</x:v>
      </x:c>
      <x:c r="B7" s="12" t="str">
        <x:v>M01</x:v>
      </x:c>
      <x:c r="C7" s="12" t="str">
        <x:v>Identificador duplicado</x:v>
      </x:c>
      <x:c r="D7" s="12" t="str">
        <x:v>Crítica</x:v>
      </x:c>
      <x:c r="E7" s="12" t="str">
        <x:v>EAN ya asignado a otro artículo</x:v>
      </x:c>
      <x:c r="F7" s="12" t="str">
        <x:v>Intentar una nueva alta con ese EAN</x:v>
      </x:c>
      <x:c r="G7" s="12" t="str">
        <x:v>Rechazo o tratamiento definido por el contrato, sin duplicar ni sobrescribir el artículo válido.</x:v>
      </x:c>
      <x:c r="H7" s="12" t="str">
        <x:v>RF</x:v>
      </x:c>
      <x:c r="I7" s="12" t="str">
        <x:v>DP</x:v>
      </x:c>
      <x:c r="J7" s="13" t="str"/>
      <x:c r="K7" s="13" t="str"/>
      <x:c r="L7" s="13" t="str"/>
      <x:c r="M7" s="13" t="str"/>
      <x:c r="N7" s="14" t="str"/>
      <x:c r="O7" s="13" t="str"/>
      <x:c r="P7" s="13" t="str"/>
      <x:c r="Q7" s="13" t="str"/>
      <x:c r="R7" s="13" t="str"/>
      <x:c r="S7" s="13" t="str"/>
      <x:c r="T7" s="13" t="str">
        <x:v>No ejecutado</x:v>
      </x:c>
      <x:c r="U7" s="12" t="str">
        <x:f>IF(T7&lt;&gt;"Ejecutado","Sin ejecutar",IF(AND(J7&lt;&gt;"",K7&lt;&gt;"",L7&lt;&gt;"",M7&lt;&gt;"",ISNUMBER(N7),O7&lt;&gt;"",P7&lt;&gt;"",R7&lt;&gt;"",S7&lt;&gt;"",ISNUMBER(V7),W7&lt;&gt;"",ISNUMBER(X7)),IF(R7="Aprobado","Ejecución aceptada","Requiere acción"),"Falta evidencia o aceptación"))</x:f>
        <x:v>Sin ejecutar</x:v>
      </x:c>
      <x:c r="V7" s="14"/>
      <x:c r="W7" s="13" t="str"/>
      <x:c r="X7" s="14"/>
    </x:row>
    <x:row r="8" ht="35" customHeight="1">
      <x:c r="A8" s="11" t="str">
        <x:v>UAT-M02-1</x:v>
      </x:c>
      <x:c r="B8" s="11" t="str">
        <x:v>M02</x:v>
      </x:c>
      <x:c r="C8" s="11" t="str">
        <x:v>Par habilitado y excluido</x:v>
      </x:c>
      <x:c r="D8" s="11" t="str">
        <x:v>Crítica</x:v>
      </x:c>
      <x:c r="E8" s="11" t="str">
        <x:v>Dos pares con distinta elegibilidad y regla vigente</x:v>
      </x:c>
      <x:c r="F8" s="11" t="str">
        <x:v>Consultar y ejecutar el consumidor aprobado para ambos</x:v>
      </x:c>
      <x:c r="G8" s="11" t="str">
        <x:v>El habilitado participa. El excluido no genera operaciones nuevas incompatibles. Motivo trazable.</x:v>
      </x:c>
      <x:c r="H8" s="11" t="str">
        <x:v>RF</x:v>
      </x:c>
      <x:c r="I8" s="11" t="str">
        <x:v>DP</x:v>
      </x:c>
      <x:c r="J8" s="13" t="str"/>
      <x:c r="K8" s="13" t="str"/>
      <x:c r="L8" s="13" t="str"/>
      <x:c r="M8" s="13" t="str"/>
      <x:c r="N8" s="14" t="str"/>
      <x:c r="O8" s="13" t="str"/>
      <x:c r="P8" s="13" t="str"/>
      <x:c r="Q8" s="13" t="str"/>
      <x:c r="R8" s="13" t="str"/>
      <x:c r="S8" s="13" t="str"/>
      <x:c r="T8" s="13" t="str">
        <x:v>No ejecutado</x:v>
      </x:c>
      <x:c r="U8" s="11" t="str">
        <x:f>IF(T8&lt;&gt;"Ejecutado","Sin ejecutar",IF(AND(J8&lt;&gt;"",K8&lt;&gt;"",L8&lt;&gt;"",M8&lt;&gt;"",ISNUMBER(N8),O8&lt;&gt;"",P8&lt;&gt;"",R8&lt;&gt;"",S8&lt;&gt;"",ISNUMBER(V8),W8&lt;&gt;"",ISNUMBER(X8)),IF(R8="Aprobado","Ejecución aceptada","Requiere acción"),"Falta evidencia o aceptación"))</x:f>
        <x:v>Sin ejecutar</x:v>
      </x:c>
      <x:c r="V8" s="14"/>
      <x:c r="W8" s="13" t="str"/>
      <x:c r="X8" s="14"/>
    </x:row>
    <x:row r="9" ht="35" customHeight="1">
      <x:c r="A9" s="12" t="str">
        <x:v>UAT-M02-2</x:v>
      </x:c>
      <x:c r="B9" s="12" t="str">
        <x:v>M02</x:v>
      </x:c>
      <x:c r="C9" s="12" t="str">
        <x:v>Cambio de vigencia</x:v>
      </x:c>
      <x:c r="D9" s="12" t="str">
        <x:v>Crítica</x:v>
      </x:c>
      <x:c r="E9" s="12" t="str">
        <x:v>Regla actual y cambio con vigencia futura</x:v>
      </x:c>
      <x:c r="F9" s="12" t="str">
        <x:v>Consultar antes y después del corte en TEST</x:v>
      </x:c>
      <x:c r="G9" s="12" t="str">
        <x:v>Cada fecha usa la versión esperada. El cambio no altera documentos históricos.</x:v>
      </x:c>
      <x:c r="H9" s="12" t="str">
        <x:v>RF</x:v>
      </x:c>
      <x:c r="I9" s="12" t="str">
        <x:v>DP</x:v>
      </x:c>
      <x:c r="J9" s="13" t="str"/>
      <x:c r="K9" s="13" t="str"/>
      <x:c r="L9" s="13" t="str"/>
      <x:c r="M9" s="13" t="str"/>
      <x:c r="N9" s="14" t="str"/>
      <x:c r="O9" s="13" t="str"/>
      <x:c r="P9" s="13" t="str"/>
      <x:c r="Q9" s="13" t="str"/>
      <x:c r="R9" s="13" t="str"/>
      <x:c r="S9" s="13" t="str"/>
      <x:c r="T9" s="13" t="str">
        <x:v>No ejecutado</x:v>
      </x:c>
      <x:c r="U9" s="12" t="str">
        <x:f>IF(T9&lt;&gt;"Ejecutado","Sin ejecutar",IF(AND(J9&lt;&gt;"",K9&lt;&gt;"",L9&lt;&gt;"",M9&lt;&gt;"",ISNUMBER(N9),O9&lt;&gt;"",P9&lt;&gt;"",R9&lt;&gt;"",S9&lt;&gt;"",ISNUMBER(V9),W9&lt;&gt;"",ISNUMBER(X9)),IF(R9="Aprobado","Ejecución aceptada","Requiere acción"),"Falta evidencia o aceptación"))</x:f>
        <x:v>Sin ejecutar</x:v>
      </x:c>
      <x:c r="V9" s="14"/>
      <x:c r="W9" s="13" t="str"/>
      <x:c r="X9" s="14"/>
    </x:row>
    <x:row r="10" ht="35" customHeight="1">
      <x:c r="A10" s="11" t="str">
        <x:v>UAT-M03-1</x:v>
      </x:c>
      <x:c r="B10" s="11" t="str">
        <x:v>M03</x:v>
      </x:c>
      <x:c r="C10" s="11" t="str">
        <x:v>Lista por proveedor y sucursal</x:v>
      </x:c>
      <x:c r="D10" s="11" t="str">
        <x:v>Crítica</x:v>
      </x:c>
      <x:c r="E10" s="11" t="str">
        <x:v>Lista general y específica vigente con valores esperados aprobados</x:v>
      </x:c>
      <x:c r="F10" s="11" t="str">
        <x:v>Importar y resolver el precio para dos sitios</x:v>
      </x:c>
      <x:c r="G10" s="11" t="str">
        <x:v>Se elige la lista correspondiente. Neto OC y estadístico se explican por componentes y versión.</x:v>
      </x:c>
      <x:c r="H10" s="11" t="str">
        <x:v>RF</x:v>
      </x:c>
      <x:c r="I10" s="11" t="str">
        <x:v>DP</x:v>
      </x:c>
      <x:c r="J10" s="13" t="str"/>
      <x:c r="K10" s="13" t="str"/>
      <x:c r="L10" s="13" t="str"/>
      <x:c r="M10" s="13" t="str"/>
      <x:c r="N10" s="14" t="str"/>
      <x:c r="O10" s="13" t="str"/>
      <x:c r="P10" s="13" t="str"/>
      <x:c r="Q10" s="13" t="str"/>
      <x:c r="R10" s="13" t="str"/>
      <x:c r="S10" s="13" t="str"/>
      <x:c r="T10" s="13" t="str">
        <x:v>No ejecutado</x:v>
      </x:c>
      <x:c r="U10" s="11" t="str">
        <x:f>IF(T10&lt;&gt;"Ejecutado","Sin ejecutar",IF(AND(J10&lt;&gt;"",K10&lt;&gt;"",L10&lt;&gt;"",M10&lt;&gt;"",ISNUMBER(N10),O10&lt;&gt;"",P10&lt;&gt;"",R10&lt;&gt;"",S10&lt;&gt;"",ISNUMBER(V10),W10&lt;&gt;"",ISNUMBER(X10)),IF(R10="Aprobado","Ejecución aceptada","Requiere acción"),"Falta evidencia o aceptación"))</x:f>
        <x:v>Sin ejecutar</x:v>
      </x:c>
      <x:c r="V10" s="14"/>
      <x:c r="W10" s="13" t="str"/>
      <x:c r="X10" s="14"/>
    </x:row>
    <x:row r="11" ht="35" customHeight="1">
      <x:c r="A11" s="12" t="str">
        <x:v>UAT-M03-2</x:v>
      </x:c>
      <x:c r="B11" s="12" t="str">
        <x:v>M03</x:v>
      </x:c>
      <x:c r="C11" s="12" t="str">
        <x:v>Importación inválida</x:v>
      </x:c>
      <x:c r="D11" s="12" t="str">
        <x:v>Crítica</x:v>
      </x:c>
      <x:c r="E11" s="12" t="str">
        <x:v>Archivo con artículo inexistente y descuento mal formado</x:v>
      </x:c>
      <x:c r="F11" s="12" t="str">
        <x:v>Importar y corregir el archivo</x:v>
      </x:c>
      <x:c r="G11" s="12" t="str">
        <x:v>Se identifican las filas rechazadas. No se publica una versión parcial sin el tratamiento explícitamente aprobado.</x:v>
      </x:c>
      <x:c r="H11" s="12" t="str">
        <x:v>RF</x:v>
      </x:c>
      <x:c r="I11" s="12" t="str">
        <x:v>DP</x:v>
      </x:c>
      <x:c r="J11" s="13" t="str"/>
      <x:c r="K11" s="13" t="str"/>
      <x:c r="L11" s="13" t="str"/>
      <x:c r="M11" s="13" t="str"/>
      <x:c r="N11" s="14" t="str"/>
      <x:c r="O11" s="13" t="str"/>
      <x:c r="P11" s="13" t="str"/>
      <x:c r="Q11" s="13" t="str"/>
      <x:c r="R11" s="13" t="str"/>
      <x:c r="S11" s="13" t="str"/>
      <x:c r="T11" s="13" t="str">
        <x:v>No ejecutado</x:v>
      </x:c>
      <x:c r="U11" s="12" t="str">
        <x:f>IF(T11&lt;&gt;"Ejecutado","Sin ejecutar",IF(AND(J11&lt;&gt;"",K11&lt;&gt;"",L11&lt;&gt;"",M11&lt;&gt;"",ISNUMBER(N11),O11&lt;&gt;"",P11&lt;&gt;"",R11&lt;&gt;"",S11&lt;&gt;"",ISNUMBER(V11),W11&lt;&gt;"",ISNUMBER(X11)),IF(R11="Aprobado","Ejecución aceptada","Requiere acción"),"Falta evidencia o aceptación"))</x:f>
        <x:v>Sin ejecutar</x:v>
      </x:c>
      <x:c r="V11" s="14"/>
      <x:c r="W11" s="13" t="str"/>
      <x:c r="X11" s="14"/>
    </x:row>
    <x:row r="12" ht="35" customHeight="1">
      <x:c r="A12" s="11" t="str">
        <x:v>UAT-M04-1</x:v>
      </x:c>
      <x:c r="B12" s="11" t="str">
        <x:v>M04</x:v>
      </x:c>
      <x:c r="C12" s="11" t="str">
        <x:v>Propuesta explicable</x:v>
      </x:c>
      <x:c r="D12" s="11" t="str">
        <x:v>Crítica</x:v>
      </x:c>
      <x:c r="E12" s="11" t="str">
        <x:v>Corte con demanda, stock y lista certificados</x:v>
      </x:c>
      <x:c r="F12" s="11" t="str">
        <x:v>Generar, revisar un artículo y ajustar con motivo</x:v>
      </x:c>
      <x:c r="G12" s="11" t="str">
        <x:v>Se identifican entradas y versión. El ajuste conserva autor y motivo. La aprobación respeta la política acordada.</x:v>
      </x:c>
      <x:c r="H12" s="11" t="str">
        <x:v>RF</x:v>
      </x:c>
      <x:c r="I12" s="11" t="str">
        <x:v>DP</x:v>
      </x:c>
      <x:c r="J12" s="13" t="str"/>
      <x:c r="K12" s="13" t="str"/>
      <x:c r="L12" s="13" t="str"/>
      <x:c r="M12" s="13" t="str"/>
      <x:c r="N12" s="14" t="str"/>
      <x:c r="O12" s="13" t="str"/>
      <x:c r="P12" s="13" t="str"/>
      <x:c r="Q12" s="13" t="str"/>
      <x:c r="R12" s="13" t="str"/>
      <x:c r="S12" s="13" t="str"/>
      <x:c r="T12" s="13" t="str">
        <x:v>No ejecutado</x:v>
      </x:c>
      <x:c r="U12" s="11" t="str">
        <x:f>IF(T12&lt;&gt;"Ejecutado","Sin ejecutar",IF(AND(J12&lt;&gt;"",K12&lt;&gt;"",L12&lt;&gt;"",M12&lt;&gt;"",ISNUMBER(N12),O12&lt;&gt;"",P12&lt;&gt;"",R12&lt;&gt;"",S12&lt;&gt;"",ISNUMBER(V12),W12&lt;&gt;"",ISNUMBER(X12)),IF(R12="Aprobado","Ejecución aceptada","Requiere acción"),"Falta evidencia o aceptación"))</x:f>
        <x:v>Sin ejecutar</x:v>
      </x:c>
      <x:c r="V12" s="14"/>
      <x:c r="W12" s="13" t="str"/>
      <x:c r="X12" s="14"/>
    </x:row>
    <x:row r="13" ht="35" customHeight="1">
      <x:c r="A13" s="12" t="str">
        <x:v>UAT-M04-2</x:v>
      </x:c>
      <x:c r="B13" s="12" t="str">
        <x:v>M04</x:v>
      </x:c>
      <x:c r="C13" s="12" t="str">
        <x:v>Entrada crítica ausente</x:v>
      </x:c>
      <x:c r="D13" s="12" t="str">
        <x:v>Crítica</x:v>
      </x:c>
      <x:c r="E13" s="12" t="str">
        <x:v>Par de prueba sin un parámetro necesario</x:v>
      </x:c>
      <x:c r="F13" s="12" t="str">
        <x:v>Generar propuesta y consultar la excepción</x:v>
      </x:c>
      <x:c r="G13" s="12" t="str">
        <x:v>Se bloquea o excluye según política explícita aprobada. Nunca se presenta un resultado incompleto como válido.</x:v>
      </x:c>
      <x:c r="H13" s="12" t="str">
        <x:v>RF</x:v>
      </x:c>
      <x:c r="I13" s="12" t="str">
        <x:v>DP</x:v>
      </x:c>
      <x:c r="J13" s="13" t="str"/>
      <x:c r="K13" s="13" t="str"/>
      <x:c r="L13" s="13" t="str"/>
      <x:c r="M13" s="13" t="str"/>
      <x:c r="N13" s="14" t="str"/>
      <x:c r="O13" s="13" t="str"/>
      <x:c r="P13" s="13" t="str"/>
      <x:c r="Q13" s="13" t="str"/>
      <x:c r="R13" s="13" t="str"/>
      <x:c r="S13" s="13" t="str"/>
      <x:c r="T13" s="13" t="str">
        <x:v>No ejecutado</x:v>
      </x:c>
      <x:c r="U13" s="12" t="str">
        <x:f>IF(T13&lt;&gt;"Ejecutado","Sin ejecutar",IF(AND(J13&lt;&gt;"",K13&lt;&gt;"",L13&lt;&gt;"",M13&lt;&gt;"",ISNUMBER(N13),O13&lt;&gt;"",P13&lt;&gt;"",R13&lt;&gt;"",S13&lt;&gt;"",ISNUMBER(V13),W13&lt;&gt;"",ISNUMBER(X13)),IF(R13="Aprobado","Ejecución aceptada","Requiere acción"),"Falta evidencia o aceptación"))</x:f>
        <x:v>Sin ejecutar</x:v>
      </x:c>
      <x:c r="V13" s="14"/>
      <x:c r="W13" s="13" t="str"/>
      <x:c r="X13" s="14"/>
    </x:row>
    <x:row r="14" ht="48.5" customHeight="1">
      <x:c r="A14" s="11" t="str">
        <x:v>UAT-M05-1</x:v>
      </x:c>
      <x:c r="B14" s="11" t="str">
        <x:v>M05</x:v>
      </x:c>
      <x:c r="C14" s="11" t="str">
        <x:v>OC aprobada a SGM</x:v>
      </x:c>
      <x:c r="D14" s="11" t="str">
        <x:v>Crítica</x:v>
      </x:c>
      <x:c r="E14" s="11" t="str">
        <x:v>Comprador/aprobador distintos y OC con cálculo esperado</x:v>
      </x:c>
      <x:c r="F14" s="11" t="str">
        <x:v>Generar, aprobar, transmitir y conciliar</x:v>
      </x:c>
      <x:c r="G14" s="11" t="str">
        <x:v>Cabecera y líneas coinciden con la versión aprobada. Identificadores vinculados y acuse funcional registrado. SGM no requiere segunda autorización de una OC aprobada en Connexa.</x:v>
      </x:c>
      <x:c r="H14" s="11" t="str">
        <x:v>RF</x:v>
      </x:c>
      <x:c r="I14" s="11" t="str">
        <x:v>DP</x:v>
      </x:c>
      <x:c r="J14" s="13" t="str"/>
      <x:c r="K14" s="13" t="str"/>
      <x:c r="L14" s="13" t="str"/>
      <x:c r="M14" s="13" t="str"/>
      <x:c r="N14" s="14" t="str"/>
      <x:c r="O14" s="13" t="str"/>
      <x:c r="P14" s="13" t="str"/>
      <x:c r="Q14" s="13" t="str"/>
      <x:c r="R14" s="13" t="str"/>
      <x:c r="S14" s="13" t="str"/>
      <x:c r="T14" s="13" t="str">
        <x:v>No ejecutado</x:v>
      </x:c>
      <x:c r="U14" s="11" t="str">
        <x:f>IF(T14&lt;&gt;"Ejecutado","Sin ejecutar",IF(AND(J14&lt;&gt;"",K14&lt;&gt;"",L14&lt;&gt;"",M14&lt;&gt;"",ISNUMBER(N14),O14&lt;&gt;"",P14&lt;&gt;"",R14&lt;&gt;"",S14&lt;&gt;"",ISNUMBER(V14),W14&lt;&gt;"",ISNUMBER(X14)),IF(R14="Aprobado","Ejecución aceptada","Requiere acción"),"Falta evidencia o aceptación"))</x:f>
        <x:v>Sin ejecutar</x:v>
      </x:c>
      <x:c r="V14" s="14"/>
      <x:c r="W14" s="13" t="str"/>
      <x:c r="X14" s="14"/>
    </x:row>
    <x:row r="15" ht="35" customHeight="1">
      <x:c r="A15" s="12" t="str">
        <x:v>UAT-M05-2</x:v>
      </x:c>
      <x:c r="B15" s="12" t="str">
        <x:v>M05</x:v>
      </x:c>
      <x:c r="C15" s="12" t="str">
        <x:v>Reintento de integración</x:v>
      </x:c>
      <x:c r="D15" s="12" t="str">
        <x:v>Crítica</x:v>
      </x:c>
      <x:c r="E15" s="12" t="str">
        <x:v>OC ya transmitida con acuse perdido en entorno de prueba</x:v>
      </x:c>
      <x:c r="F15" s="12" t="str">
        <x:v>Repetir por procedimiento autorizado y consultar destino</x:v>
      </x:c>
      <x:c r="G15" s="12" t="str">
        <x:v>Se recupera el estado de una única OC. No hay doble documento ni doble comunicación al proveedor.</x:v>
      </x:c>
      <x:c r="H15" s="12" t="str">
        <x:v>RF</x:v>
      </x:c>
      <x:c r="I15" s="12" t="str">
        <x:v>DP</x:v>
      </x:c>
      <x:c r="J15" s="13" t="str"/>
      <x:c r="K15" s="13" t="str"/>
      <x:c r="L15" s="13" t="str"/>
      <x:c r="M15" s="13" t="str"/>
      <x:c r="N15" s="14" t="str"/>
      <x:c r="O15" s="13" t="str"/>
      <x:c r="P15" s="13" t="str"/>
      <x:c r="Q15" s="13" t="str"/>
      <x:c r="R15" s="13" t="str"/>
      <x:c r="S15" s="13" t="str"/>
      <x:c r="T15" s="13" t="str">
        <x:v>No ejecutado</x:v>
      </x:c>
      <x:c r="U15" s="12" t="str">
        <x:f>IF(T15&lt;&gt;"Ejecutado","Sin ejecutar",IF(AND(J15&lt;&gt;"",K15&lt;&gt;"",L15&lt;&gt;"",M15&lt;&gt;"",ISNUMBER(N15),O15&lt;&gt;"",P15&lt;&gt;"",R15&lt;&gt;"",S15&lt;&gt;"",ISNUMBER(V15),W15&lt;&gt;"",ISNUMBER(X15)),IF(R15="Aprobado","Ejecución aceptada","Requiere acción"),"Falta evidencia o aceptación"))</x:f>
        <x:v>Sin ejecutar</x:v>
      </x:c>
      <x:c r="V15" s="14"/>
      <x:c r="W15" s="13" t="str"/>
      <x:c r="X15" s="14"/>
    </x:row>
    <x:row r="16" ht="35" customHeight="1">
      <x:c r="A16" s="11" t="str">
        <x:v>UAT-M06-1</x:v>
      </x:c>
      <x:c r="B16" s="11" t="str">
        <x:v>M06</x:v>
      </x:c>
      <x:c r="C16" s="11" t="str">
        <x:v>Recepción parcial y diferencia</x:v>
      </x:c>
      <x:c r="D16" s="11" t="str">
        <x:v>Crítica</x:v>
      </x:c>
      <x:c r="E16" s="11" t="str">
        <x:v>Documento conocido y cantidades físicas certificadas</x:v>
      </x:c>
      <x:c r="F16" s="11" t="str">
        <x:v>Recibir parte, registrar diferencia y conciliar</x:v>
      </x:c>
      <x:c r="G16" s="11" t="str">
        <x:v>Se registra lo efectivamente recibido y el motivo. Pendiente e impacto se corresponden con el contrato aprobado.</x:v>
      </x:c>
      <x:c r="H16" s="11" t="str">
        <x:v>RF</x:v>
      </x:c>
      <x:c r="I16" s="11" t="str">
        <x:v>DP</x:v>
      </x:c>
      <x:c r="J16" s="13" t="str"/>
      <x:c r="K16" s="13" t="str"/>
      <x:c r="L16" s="13" t="str"/>
      <x:c r="M16" s="13" t="str"/>
      <x:c r="N16" s="14" t="str"/>
      <x:c r="O16" s="13" t="str"/>
      <x:c r="P16" s="13" t="str"/>
      <x:c r="Q16" s="13" t="str"/>
      <x:c r="R16" s="13" t="str"/>
      <x:c r="S16" s="13" t="str"/>
      <x:c r="T16" s="13" t="str">
        <x:v>No ejecutado</x:v>
      </x:c>
      <x:c r="U16" s="11" t="str">
        <x:f>IF(T16&lt;&gt;"Ejecutado","Sin ejecutar",IF(AND(J16&lt;&gt;"",K16&lt;&gt;"",L16&lt;&gt;"",M16&lt;&gt;"",ISNUMBER(N16),O16&lt;&gt;"",P16&lt;&gt;"",R16&lt;&gt;"",S16&lt;&gt;"",ISNUMBER(V16),W16&lt;&gt;"",ISNUMBER(X16)),IF(R16="Aprobado","Ejecución aceptada","Requiere acción"),"Falta evidencia o aceptación"))</x:f>
        <x:v>Sin ejecutar</x:v>
      </x:c>
      <x:c r="V16" s="14"/>
      <x:c r="W16" s="13" t="str"/>
      <x:c r="X16" s="14"/>
    </x:row>
    <x:row r="17" ht="35" customHeight="1">
      <x:c r="A17" s="12" t="str">
        <x:v>UAT-M06-2</x:v>
      </x:c>
      <x:c r="B17" s="12" t="str">
        <x:v>M06</x:v>
      </x:c>
      <x:c r="C17" s="12" t="str">
        <x:v>Falla y recuperación PDA</x:v>
      </x:c>
      <x:c r="D17" s="12" t="str">
        <x:v>Crítica</x:v>
      </x:c>
      <x:c r="E17" s="12" t="str">
        <x:v>Recepción preparada y comunicación interrumpida en TEST</x:v>
      </x:c>
      <x:c r="F17" s="12" t="str">
        <x:v>Recuperar comunicación y seguir el runbook</x:v>
      </x:c>
      <x:c r="G17" s="12" t="str">
        <x:v>Una sola recepción efectiva. Operador identifica estado, pendiente y acción autorizada.</x:v>
      </x:c>
      <x:c r="H17" s="12" t="str">
        <x:v>RF</x:v>
      </x:c>
      <x:c r="I17" s="12" t="str">
        <x:v>DP</x:v>
      </x:c>
      <x:c r="J17" s="13" t="str"/>
      <x:c r="K17" s="13" t="str"/>
      <x:c r="L17" s="13" t="str"/>
      <x:c r="M17" s="13" t="str"/>
      <x:c r="N17" s="14" t="str"/>
      <x:c r="O17" s="13" t="str"/>
      <x:c r="P17" s="13" t="str"/>
      <x:c r="Q17" s="13" t="str"/>
      <x:c r="R17" s="13" t="str"/>
      <x:c r="S17" s="13" t="str"/>
      <x:c r="T17" s="13" t="str">
        <x:v>No ejecutado</x:v>
      </x:c>
      <x:c r="U17" s="12" t="str">
        <x:f>IF(T17&lt;&gt;"Ejecutado","Sin ejecutar",IF(AND(J17&lt;&gt;"",K17&lt;&gt;"",L17&lt;&gt;"",M17&lt;&gt;"",ISNUMBER(N17),O17&lt;&gt;"",P17&lt;&gt;"",R17&lt;&gt;"",S17&lt;&gt;"",ISNUMBER(V17),W17&lt;&gt;"",ISNUMBER(X17)),IF(R17="Aprobado","Ejecución aceptada","Requiere acción"),"Falta evidencia o aceptación"))</x:f>
        <x:v>Sin ejecutar</x:v>
      </x:c>
      <x:c r="V17" s="14"/>
      <x:c r="W17" s="13" t="str"/>
      <x:c r="X17" s="14"/>
    </x:row>
    <x:row r="18" ht="35" customHeight="1">
      <x:c r="A18" s="11" t="str">
        <x:v>UAT-M07-1</x:v>
      </x:c>
      <x:c r="B18" s="11" t="str">
        <x:v>M07</x:v>
      </x:c>
      <x:c r="C18" s="11" t="str">
        <x:v>Conteo y ajuste autorizado</x:v>
      </x:c>
      <x:c r="D18" s="11" t="str">
        <x:v>Crítica</x:v>
      </x:c>
      <x:c r="E18" s="11" t="str">
        <x:v>Stock inicial, conteo independiente y roles segregados</x:v>
      </x:c>
      <x:c r="F18" s="11" t="str">
        <x:v>Contar, recontar, aprobar e integrar el ajuste</x:v>
      </x:c>
      <x:c r="G18" s="11" t="str">
        <x:v>La diferencia coincide con el esperado. Un único ajuste deja autor, aprobador y estados antes/después.</x:v>
      </x:c>
      <x:c r="H18" s="11" t="str">
        <x:v>RF</x:v>
      </x:c>
      <x:c r="I18" s="11" t="str">
        <x:v>DP</x:v>
      </x:c>
      <x:c r="J18" s="13" t="str"/>
      <x:c r="K18" s="13" t="str"/>
      <x:c r="L18" s="13" t="str"/>
      <x:c r="M18" s="13" t="str"/>
      <x:c r="N18" s="14" t="str"/>
      <x:c r="O18" s="13" t="str"/>
      <x:c r="P18" s="13" t="str"/>
      <x:c r="Q18" s="13" t="str"/>
      <x:c r="R18" s="13" t="str"/>
      <x:c r="S18" s="13" t="str"/>
      <x:c r="T18" s="13" t="str">
        <x:v>No ejecutado</x:v>
      </x:c>
      <x:c r="U18" s="11" t="str">
        <x:f>IF(T18&lt;&gt;"Ejecutado","Sin ejecutar",IF(AND(J18&lt;&gt;"",K18&lt;&gt;"",L18&lt;&gt;"",M18&lt;&gt;"",ISNUMBER(N18),O18&lt;&gt;"",P18&lt;&gt;"",R18&lt;&gt;"",S18&lt;&gt;"",ISNUMBER(V18),W18&lt;&gt;"",ISNUMBER(X18)),IF(R18="Aprobado","Ejecución aceptada","Requiere acción"),"Falta evidencia o aceptación"))</x:f>
        <x:v>Sin ejecutar</x:v>
      </x:c>
      <x:c r="V18" s="14"/>
      <x:c r="W18" s="13" t="str"/>
      <x:c r="X18" s="14"/>
    </x:row>
    <x:row r="19" ht="28" customHeight="1">
      <x:c r="A19" s="12" t="str">
        <x:v>UAT-M07-2</x:v>
      </x:c>
      <x:c r="B19" s="12" t="str">
        <x:v>M07</x:v>
      </x:c>
      <x:c r="C19" s="12" t="str">
        <x:v>Permiso de ajuste</x:v>
      </x:c>
      <x:c r="D19" s="12" t="str">
        <x:v>Crítica</x:v>
      </x:c>
      <x:c r="E19" s="12" t="str">
        <x:v>Usuario de conteo sin facultad de aprobación</x:v>
      </x:c>
      <x:c r="F19" s="12" t="str">
        <x:v>Intentar aprobar su ajuste fuera de los permisos</x:v>
      </x:c>
      <x:c r="G19" s="12" t="str">
        <x:v>La acción se rechaza y audita. Ningún saldo cambia por el intento.</x:v>
      </x:c>
      <x:c r="H19" s="12" t="str">
        <x:v>RF</x:v>
      </x:c>
      <x:c r="I19" s="12" t="str">
        <x:v>DP</x:v>
      </x:c>
      <x:c r="J19" s="13" t="str"/>
      <x:c r="K19" s="13" t="str"/>
      <x:c r="L19" s="13" t="str"/>
      <x:c r="M19" s="13" t="str"/>
      <x:c r="N19" s="14" t="str"/>
      <x:c r="O19" s="13" t="str"/>
      <x:c r="P19" s="13" t="str"/>
      <x:c r="Q19" s="13" t="str"/>
      <x:c r="R19" s="13" t="str"/>
      <x:c r="S19" s="13" t="str"/>
      <x:c r="T19" s="13" t="str">
        <x:v>No ejecutado</x:v>
      </x:c>
      <x:c r="U19" s="12" t="str">
        <x:f>IF(T19&lt;&gt;"Ejecutado","Sin ejecutar",IF(AND(J19&lt;&gt;"",K19&lt;&gt;"",L19&lt;&gt;"",M19&lt;&gt;"",ISNUMBER(N19),O19&lt;&gt;"",P19&lt;&gt;"",R19&lt;&gt;"",S19&lt;&gt;"",ISNUMBER(V19),W19&lt;&gt;"",ISNUMBER(X19)),IF(R19="Aprobado","Ejecución aceptada","Requiere acción"),"Falta evidencia o aceptación"))</x:f>
        <x:v>Sin ejecutar</x:v>
      </x:c>
      <x:c r="V19" s="14"/>
      <x:c r="W19" s="13" t="str"/>
      <x:c r="X19" s="14"/>
    </x:row>
    <x:row r="20" ht="35" customHeight="1">
      <x:c r="A20" s="11" t="str">
        <x:v>UAT-M08-1</x:v>
      </x:c>
      <x:c r="B20" s="11" t="str">
        <x:v>M08</x:v>
      </x:c>
      <x:c r="C20" s="11" t="str">
        <x:v>Cobertura Inventory</x:v>
      </x:c>
      <x:c r="D20" s="11" t="str">
        <x:v>Crítica</x:v>
      </x:c>
      <x:c r="E20" s="11" t="str">
        <x:v>Scope y políticas leídos nuevamente en ambiente de prueba</x:v>
      </x:c>
      <x:c r="F20" s="11" t="str">
        <x:v>Ejecutar preflight y verificar casos incompletos</x:v>
      </x:c>
      <x:c r="G20" s="11" t="str">
        <x:v>Estado y exclusiones concuerdan con controles vigentes. Se conserva evidencia y dueño de corrección.</x:v>
      </x:c>
      <x:c r="H20" s="11" t="str">
        <x:v>RF</x:v>
      </x:c>
      <x:c r="I20" s="11" t="str">
        <x:v>DP</x:v>
      </x:c>
      <x:c r="J20" s="13" t="str"/>
      <x:c r="K20" s="13" t="str"/>
      <x:c r="L20" s="13" t="str"/>
      <x:c r="M20" s="13" t="str"/>
      <x:c r="N20" s="14" t="str"/>
      <x:c r="O20" s="13" t="str"/>
      <x:c r="P20" s="13" t="str"/>
      <x:c r="Q20" s="13" t="str"/>
      <x:c r="R20" s="13" t="str"/>
      <x:c r="S20" s="13" t="str"/>
      <x:c r="T20" s="13" t="str">
        <x:v>No ejecutado</x:v>
      </x:c>
      <x:c r="U20" s="11" t="str">
        <x:f>IF(T20&lt;&gt;"Ejecutado","Sin ejecutar",IF(AND(J20&lt;&gt;"",K20&lt;&gt;"",L20&lt;&gt;"",M20&lt;&gt;"",ISNUMBER(N20),O20&lt;&gt;"",P20&lt;&gt;"",R20&lt;&gt;"",S20&lt;&gt;"",ISNUMBER(V20),W20&lt;&gt;"",ISNUMBER(X20)),IF(R20="Aprobado","Ejecución aceptada","Requiere acción"),"Falta evidencia o aceptación"))</x:f>
        <x:v>Sin ejecutar</x:v>
      </x:c>
      <x:c r="V20" s="14"/>
      <x:c r="W20" s="13" t="str"/>
      <x:c r="X20" s="14"/>
    </x:row>
    <x:row r="21" ht="35" customHeight="1">
      <x:c r="A21" s="12" t="str">
        <x:v>UAT-M08-2</x:v>
      </x:c>
      <x:c r="B21" s="12" t="str">
        <x:v>M08</x:v>
      </x:c>
      <x:c r="C21" s="12" t="str">
        <x:v>Necesidad dirigida y backlog</x:v>
      </x:c>
      <x:c r="D21" s="12" t="str">
        <x:v>Crítica</x:v>
      </x:c>
      <x:c r="E21" s="12" t="str">
        <x:v>Par válido y necesidad E/C/A aprobada de prueba</x:v>
      </x:c>
      <x:c r="F21" s="12" t="str">
        <x:v>Ejecutar flujo incluido y revisar snapshot/backlog</x:v>
      </x:c>
      <x:c r="G21" s="12" t="str">
        <x:v>La necesidad conserva aprobación, prioridad y trazabilidad. No se crea una reserva o viaje por inferencia.</x:v>
      </x:c>
      <x:c r="H21" s="12" t="str">
        <x:v>RF</x:v>
      </x:c>
      <x:c r="I21" s="12" t="str">
        <x:v>DP</x:v>
      </x:c>
      <x:c r="J21" s="13" t="str"/>
      <x:c r="K21" s="13" t="str"/>
      <x:c r="L21" s="13" t="str"/>
      <x:c r="M21" s="13" t="str"/>
      <x:c r="N21" s="14" t="str"/>
      <x:c r="O21" s="13" t="str"/>
      <x:c r="P21" s="13" t="str"/>
      <x:c r="Q21" s="13" t="str"/>
      <x:c r="R21" s="13" t="str"/>
      <x:c r="S21" s="13" t="str"/>
      <x:c r="T21" s="13" t="str">
        <x:v>No ejecutado</x:v>
      </x:c>
      <x:c r="U21" s="12" t="str">
        <x:f>IF(T21&lt;&gt;"Ejecutado","Sin ejecutar",IF(AND(J21&lt;&gt;"",K21&lt;&gt;"",L21&lt;&gt;"",M21&lt;&gt;"",ISNUMBER(N21),O21&lt;&gt;"",P21&lt;&gt;"",R21&lt;&gt;"",S21&lt;&gt;"",ISNUMBER(V21),W21&lt;&gt;"",ISNUMBER(X21)),IF(R21="Aprobado","Ejecución aceptada","Requiere acción"),"Falta evidencia o aceptación"))</x:f>
        <x:v>Sin ejecutar</x:v>
      </x:c>
      <x:c r="V21" s="14"/>
      <x:c r="W21" s="13" t="str"/>
      <x:c r="X21" s="14"/>
    </x:row>
    <x:row r="22" ht="35" customHeight="1">
      <x:c r="A22" s="11" t="str">
        <x:v>UAT-M09-1</x:v>
      </x:c>
      <x:c r="B22" s="11" t="str">
        <x:v>M09</x:v>
      </x:c>
      <x:c r="C22" s="11" t="str">
        <x:v>Transferencia a Valkimia/SGM</x:v>
      </x:c>
      <x:c r="D22" s="11" t="str">
        <x:v>Crítica</x:v>
      </x:c>
      <x:c r="E22" s="11" t="str">
        <x:v>Contrato mínimo o formato Excel validado por las contrapartes</x:v>
      </x:c>
      <x:c r="F22" s="11" t="str">
        <x:v>Generar, exportar/transmitir, confirmar y conciliar</x:v>
      </x:c>
      <x:c r="G22" s="11" t="str">
        <x:v>Identificadores, cantidades y estados coherentes. Evidencia de aceptación de destino.</x:v>
      </x:c>
      <x:c r="H22" s="11" t="str">
        <x:v>RF</x:v>
      </x:c>
      <x:c r="I22" s="11" t="str">
        <x:v>DP</x:v>
      </x:c>
      <x:c r="J22" s="13" t="str"/>
      <x:c r="K22" s="13" t="str"/>
      <x:c r="L22" s="13" t="str"/>
      <x:c r="M22" s="13" t="str"/>
      <x:c r="N22" s="14" t="str"/>
      <x:c r="O22" s="13" t="str"/>
      <x:c r="P22" s="13" t="str"/>
      <x:c r="Q22" s="13" t="str"/>
      <x:c r="R22" s="13" t="str"/>
      <x:c r="S22" s="13" t="str"/>
      <x:c r="T22" s="13" t="str">
        <x:v>No ejecutado</x:v>
      </x:c>
      <x:c r="U22" s="11" t="str">
        <x:f>IF(T22&lt;&gt;"Ejecutado","Sin ejecutar",IF(AND(J22&lt;&gt;"",K22&lt;&gt;"",L22&lt;&gt;"",M22&lt;&gt;"",ISNUMBER(N22),O22&lt;&gt;"",P22&lt;&gt;"",R22&lt;&gt;"",S22&lt;&gt;"",ISNUMBER(V22),W22&lt;&gt;"",ISNUMBER(X22)),IF(R22="Aprobado","Ejecución aceptada","Requiere acción"),"Falta evidencia o aceptación"))</x:f>
        <x:v>Sin ejecutar</x:v>
      </x:c>
      <x:c r="V22" s="14"/>
      <x:c r="W22" s="13" t="str"/>
      <x:c r="X22" s="14"/>
    </x:row>
    <x:row r="23" ht="35" customHeight="1">
      <x:c r="A23" s="12" t="str">
        <x:v>UAT-M09-2</x:v>
      </x:c>
      <x:c r="B23" s="12" t="str">
        <x:v>M09</x:v>
      </x:c>
      <x:c r="C23" s="12" t="str">
        <x:v>Retorno parcial y reintento</x:v>
      </x:c>
      <x:c r="D23" s="12" t="str">
        <x:v>Crítica</x:v>
      </x:c>
      <x:c r="E23" s="12" t="str">
        <x:v>Documento de prueba con despacho parcial y esperado acordado</x:v>
      </x:c>
      <x:c r="F23" s="12" t="str">
        <x:v>Recibir retorno, consultar saldo y repetir por procedimiento</x:v>
      </x:c>
      <x:c r="G23" s="12" t="str">
        <x:v>Saldo y pendiente coinciden. No se duplica movimiento ni se presume redespacho sin contrato.</x:v>
      </x:c>
      <x:c r="H23" s="12" t="str">
        <x:v>RF</x:v>
      </x:c>
      <x:c r="I23" s="12" t="str">
        <x:v>DP</x:v>
      </x:c>
      <x:c r="J23" s="13" t="str"/>
      <x:c r="K23" s="13" t="str"/>
      <x:c r="L23" s="13" t="str"/>
      <x:c r="M23" s="13" t="str"/>
      <x:c r="N23" s="14" t="str"/>
      <x:c r="O23" s="13" t="str"/>
      <x:c r="P23" s="13" t="str"/>
      <x:c r="Q23" s="13" t="str"/>
      <x:c r="R23" s="13" t="str"/>
      <x:c r="S23" s="13" t="str"/>
      <x:c r="T23" s="13" t="str">
        <x:v>No ejecutado</x:v>
      </x:c>
      <x:c r="U23" s="12" t="str">
        <x:f>IF(T23&lt;&gt;"Ejecutado","Sin ejecutar",IF(AND(J23&lt;&gt;"",K23&lt;&gt;"",L23&lt;&gt;"",M23&lt;&gt;"",ISNUMBER(N23),O23&lt;&gt;"",P23&lt;&gt;"",R23&lt;&gt;"",S23&lt;&gt;"",ISNUMBER(V23),W23&lt;&gt;"",ISNUMBER(X23)),IF(R23="Aprobado","Ejecución aceptada","Requiere acción"),"Falta evidencia o aceptación"))</x:f>
        <x:v>Sin ejecutar</x:v>
      </x:c>
      <x:c r="V23" s="14"/>
      <x:c r="W23" s="13" t="str"/>
      <x:c r="X23" s="14"/>
    </x:row>
    <x:row r="24" ht="35" customHeight="1">
      <x:c r="A24" s="11" t="str">
        <x:v>UAT-M10-1</x:v>
      </x:c>
      <x:c r="B24" s="11" t="str">
        <x:v>M10</x:v>
      </x:c>
      <x:c r="C24" s="11" t="str">
        <x:v>Conciliación de stock y pendiente</x:v>
      </x:c>
      <x:c r="D24" s="11" t="str">
        <x:v>Crítica</x:v>
      </x:c>
      <x:c r="E24" s="11" t="str">
        <x:v>Foto SGM certificada y movimiento de prueba trazable</x:v>
      </x:c>
      <x:c r="F24" s="11" t="str">
        <x:v>Comparar origen, destino, corte y resultado</x:v>
      </x:c>
      <x:c r="G24" s="11" t="str">
        <x:v>Diferencias identificadas por causa. Se conserva SGM como autoridad durante etapa 1.</x:v>
      </x:c>
      <x:c r="H24" s="11" t="str">
        <x:v>RF</x:v>
      </x:c>
      <x:c r="I24" s="11" t="str">
        <x:v>DP</x:v>
      </x:c>
      <x:c r="J24" s="13" t="str"/>
      <x:c r="K24" s="13" t="str"/>
      <x:c r="L24" s="13" t="str"/>
      <x:c r="M24" s="13" t="str"/>
      <x:c r="N24" s="14" t="str"/>
      <x:c r="O24" s="13" t="str"/>
      <x:c r="P24" s="13" t="str"/>
      <x:c r="Q24" s="13" t="str"/>
      <x:c r="R24" s="13" t="str"/>
      <x:c r="S24" s="13" t="str"/>
      <x:c r="T24" s="13" t="str">
        <x:v>No ejecutado</x:v>
      </x:c>
      <x:c r="U24" s="11" t="str">
        <x:f>IF(T24&lt;&gt;"Ejecutado","Sin ejecutar",IF(AND(J24&lt;&gt;"",K24&lt;&gt;"",L24&lt;&gt;"",M24&lt;&gt;"",ISNUMBER(N24),O24&lt;&gt;"",P24&lt;&gt;"",R24&lt;&gt;"",S24&lt;&gt;"",ISNUMBER(V24),W24&lt;&gt;"",ISNUMBER(X24)),IF(R24="Aprobado","Ejecución aceptada","Requiere acción"),"Falta evidencia o aceptación"))</x:f>
        <x:v>Sin ejecutar</x:v>
      </x:c>
      <x:c r="V24" s="14"/>
      <x:c r="W24" s="13" t="str"/>
      <x:c r="X24" s="14"/>
    </x:row>
    <x:row r="25" ht="35" customHeight="1">
      <x:c r="A25" s="12" t="str">
        <x:v>UAT-M10-2</x:v>
      </x:c>
      <x:c r="B25" s="12" t="str">
        <x:v>M10</x:v>
      </x:c>
      <x:c r="C25" s="12" t="str">
        <x:v>Alerta y recuperación</x:v>
      </x:c>
      <x:c r="D25" s="12" t="str">
        <x:v>Crítica</x:v>
      </x:c>
      <x:c r="E25" s="12" t="str">
        <x:v>Falla controlada y canal de atención habilitado</x:v>
      </x:c>
      <x:c r="F25" s="12" t="str">
        <x:v>Detectar, clasificar, recuperar y conciliar</x:v>
      </x:c>
      <x:c r="G25" s="12" t="str">
        <x:v>Responsables reciben y atienden la alerta. Recuperación confirma documentos y saldos antes de reanudar.</x:v>
      </x:c>
      <x:c r="H25" s="12" t="str">
        <x:v>RF</x:v>
      </x:c>
      <x:c r="I25" s="12" t="str">
        <x:v>DP</x:v>
      </x:c>
      <x:c r="J25" s="13" t="str"/>
      <x:c r="K25" s="13" t="str"/>
      <x:c r="L25" s="13" t="str"/>
      <x:c r="M25" s="13" t="str"/>
      <x:c r="N25" s="14" t="str"/>
      <x:c r="O25" s="13" t="str"/>
      <x:c r="P25" s="13" t="str"/>
      <x:c r="Q25" s="13" t="str"/>
      <x:c r="R25" s="13" t="str"/>
      <x:c r="S25" s="13" t="str"/>
      <x:c r="T25" s="13" t="str">
        <x:v>No ejecutado</x:v>
      </x:c>
      <x:c r="U25" s="12" t="str">
        <x:f>IF(T25&lt;&gt;"Ejecutado","Sin ejecutar",IF(AND(J25&lt;&gt;"",K25&lt;&gt;"",L25&lt;&gt;"",M25&lt;&gt;"",ISNUMBER(N25),O25&lt;&gt;"",P25&lt;&gt;"",R25&lt;&gt;"",S25&lt;&gt;"",ISNUMBER(V25),W25&lt;&gt;"",ISNUMBER(X25)),IF(R25="Aprobado","Ejecución aceptada","Requiere acción"),"Falta evidencia o aceptación"))</x:f>
        <x:v>Sin ejecutar</x:v>
      </x:c>
      <x:c r="V25" s="14"/>
      <x:c r="W25" s="13" t="str"/>
      <x:c r="X25" s="14"/>
    </x:row>
    <x:row r="26" ht="35" customHeight="1">
      <x:c r="A26" s="11" t="str">
        <x:v>UAT-E2E-01</x:v>
      </x:c>
      <x:c r="B26" s="11" t="str">
        <x:v>TRANSVERSAL</x:v>
      </x:c>
      <x:c r="C26" s="11" t="str">
        <x:v>Catálogo a OC conciliada</x:v>
      </x:c>
      <x:c r="D26" s="11" t="str">
        <x:v>Crítica</x:v>
      </x:c>
      <x:c r="E26" s="11" t="str">
        <x:v>Módulos M01 a M05 incluidos, datos certificados y esperado aprobado</x:v>
      </x:c>
      <x:c r="F26" s="11" t="str">
        <x:v>Aplicar dato, surtido, lista, propuesta y OC. Aprobar y verificar SGM</x:v>
      </x:c>
      <x:c r="G26" s="11" t="str">
        <x:v>Identidad, elegibilidad, cantidad y valor coherentes de extremo a extremo. Una única OC vinculada.</x:v>
      </x:c>
      <x:c r="H26" s="11" t="str">
        <x:v>RF</x:v>
      </x:c>
      <x:c r="I26" s="11" t="str">
        <x:v>DP</x:v>
      </x:c>
      <x:c r="J26" s="13" t="str"/>
      <x:c r="K26" s="13" t="str"/>
      <x:c r="L26" s="13" t="str"/>
      <x:c r="M26" s="13" t="str"/>
      <x:c r="N26" s="14" t="str"/>
      <x:c r="O26" s="13" t="str"/>
      <x:c r="P26" s="13" t="str"/>
      <x:c r="Q26" s="13" t="str"/>
      <x:c r="R26" s="13" t="str"/>
      <x:c r="S26" s="13" t="str"/>
      <x:c r="T26" s="13" t="str">
        <x:v>No ejecutado</x:v>
      </x:c>
      <x:c r="U26" s="11" t="str">
        <x:f>IF(T26&lt;&gt;"Ejecutado","Sin ejecutar",IF(AND(J26&lt;&gt;"",K26&lt;&gt;"",L26&lt;&gt;"",M26&lt;&gt;"",ISNUMBER(N26),O26&lt;&gt;"",P26&lt;&gt;"",R26&lt;&gt;"",S26&lt;&gt;"",ISNUMBER(V26),W26&lt;&gt;"",ISNUMBER(X26)),IF(R26="Aprobado","Ejecución aceptada","Requiere acción"),"Falta evidencia o aceptación"))</x:f>
        <x:v>Sin ejecutar</x:v>
      </x:c>
      <x:c r="V26" s="14"/>
      <x:c r="W26" s="13" t="str"/>
      <x:c r="X26" s="14"/>
    </x:row>
    <x:row r="27" ht="35" customHeight="1">
      <x:c r="A27" s="12" t="str">
        <x:v>UAT-E2E-02</x:v>
      </x:c>
      <x:c r="B27" s="12" t="str">
        <x:v>TRANSVERSAL</x:v>
      </x:c>
      <x:c r="C27" s="12" t="str">
        <x:v>Contingencia y recuperación</x:v>
      </x:c>
      <x:c r="D27" s="12" t="str">
        <x:v>Crítica</x:v>
      </x:c>
      <x:c r="E27" s="12" t="str">
        <x:v>Punto de interrupción controlado en TEST, autorización de IT y esperado</x:v>
      </x:c>
      <x:c r="F27" s="12" t="str">
        <x:v>Interrumpir interfaz, abrir ticket, recuperar y conciliar documentos en vuelo</x:v>
      </x:c>
      <x:c r="G27" s="12" t="str">
        <x:v>No hay pérdida ni duplicación. Saldo y documentos conciliados antes de reanudar.</x:v>
      </x:c>
      <x:c r="H27" s="12" t="str">
        <x:v>RF</x:v>
      </x:c>
      <x:c r="I27" s="12" t="str">
        <x:v>DP</x:v>
      </x:c>
      <x:c r="J27" s="13" t="str"/>
      <x:c r="K27" s="13" t="str"/>
      <x:c r="L27" s="13" t="str"/>
      <x:c r="M27" s="13" t="str"/>
      <x:c r="N27" s="14" t="str"/>
      <x:c r="O27" s="13" t="str"/>
      <x:c r="P27" s="13" t="str"/>
      <x:c r="Q27" s="13" t="str"/>
      <x:c r="R27" s="13" t="str"/>
      <x:c r="S27" s="13" t="str"/>
      <x:c r="T27" s="13" t="str">
        <x:v>No ejecutado</x:v>
      </x:c>
      <x:c r="U27" s="12" t="str">
        <x:f>IF(T27&lt;&gt;"Ejecutado","Sin ejecutar",IF(AND(J27&lt;&gt;"",K27&lt;&gt;"",L27&lt;&gt;"",M27&lt;&gt;"",ISNUMBER(N27),O27&lt;&gt;"",P27&lt;&gt;"",R27&lt;&gt;"",S27&lt;&gt;"",ISNUMBER(V27),W27&lt;&gt;"",ISNUMBER(X27)),IF(R27="Aprobado","Ejecución aceptada","Requiere acción"),"Falta evidencia o aceptación"))</x:f>
        <x:v>Sin ejecutar</x:v>
      </x:c>
      <x:c r="V27" s="14"/>
      <x:c r="W27" s="13" t="str"/>
      <x:c r="X27" s="14"/>
    </x:row>
    <x:row r="28" ht="35" customHeight="1">
      <x:c r="A28" s="11" t="str">
        <x:v>UAT-SEG-01</x:v>
      </x:c>
      <x:c r="B28" s="11" t="str">
        <x:v>TRANSVERSAL</x:v>
      </x:c>
      <x:c r="C28" s="11" t="str">
        <x:v>Permisos y segregación</x:v>
      </x:c>
      <x:c r="D28" s="11" t="str">
        <x:v>Crítica</x:v>
      </x:c>
      <x:c r="E28" s="11" t="str">
        <x:v>Matriz de permisos aprobada, usuario autorizado y usuario sin facultad</x:v>
      </x:c>
      <x:c r="F28" s="11" t="str">
        <x:v>Ejecutar alta/aprobación con ambos usuarios en el circuito incluido</x:v>
      </x:c>
      <x:c r="G28" s="11" t="str">
        <x:v>Sólo el autorizado puede actuar. Intentos indebidos se rechazan y auditan.</x:v>
      </x:c>
      <x:c r="H28" s="11" t="str">
        <x:v>RF</x:v>
      </x:c>
      <x:c r="I28" s="11" t="str">
        <x:v>DP</x:v>
      </x:c>
      <x:c r="J28" s="13" t="str"/>
      <x:c r="K28" s="13" t="str"/>
      <x:c r="L28" s="13" t="str"/>
      <x:c r="M28" s="13" t="str"/>
      <x:c r="N28" s="14" t="str"/>
      <x:c r="O28" s="13" t="str"/>
      <x:c r="P28" s="13" t="str"/>
      <x:c r="Q28" s="13" t="str"/>
      <x:c r="R28" s="13" t="str"/>
      <x:c r="S28" s="13" t="str"/>
      <x:c r="T28" s="13" t="str">
        <x:v>No ejecutado</x:v>
      </x:c>
      <x:c r="U28" s="11" t="str">
        <x:f>IF(T28&lt;&gt;"Ejecutado","Sin ejecutar",IF(AND(J28&lt;&gt;"",K28&lt;&gt;"",L28&lt;&gt;"",M28&lt;&gt;"",ISNUMBER(N28),O28&lt;&gt;"",P28&lt;&gt;"",R28&lt;&gt;"",S28&lt;&gt;"",ISNUMBER(V28),W28&lt;&gt;"",ISNUMBER(X28)),IF(R28="Aprobado","Ejecución aceptada","Requiere acción"),"Falta evidencia o aceptación"))</x:f>
        <x:v>Sin ejecutar</x:v>
      </x:c>
      <x:c r="V28" s="14"/>
      <x:c r="W28" s="13" t="str"/>
      <x:c r="X28" s="14"/>
    </x:row>
    <x:row r="29" ht="35" customHeight="1">
      <x:c r="A29" s="12" t="str">
        <x:v>UAT-SOP-01</x:v>
      </x:c>
      <x:c r="B29" s="12" t="str">
        <x:v>TRANSVERSAL</x:v>
      </x:c>
      <x:c r="C29" s="12" t="str">
        <x:v>Simulacro de soporte</x:v>
      </x:c>
      <x:c r="D29" s="12" t="str">
        <x:v>Crítica</x:v>
      </x:c>
      <x:c r="E29" s="12" t="str">
        <x:v>Mesa de ayuda, IT, referente y L2 identificados con horario acordado</x:v>
      </x:c>
      <x:c r="F29" s="12" t="str">
        <x:v>Registrar problema, clasificar, derivar, comunicar y confirmar solución</x:v>
      </x:c>
      <x:c r="G29" s="12" t="str">
        <x:v>Ticket conserva dueño, tiempos y evidencia. Usuario confirma recuperación y actualización de FAQ.</x:v>
      </x:c>
      <x:c r="H29" s="12" t="str">
        <x:v>RF</x:v>
      </x:c>
      <x:c r="I29" s="12" t="str">
        <x:v>DP</x:v>
      </x:c>
      <x:c r="J29" s="13" t="str"/>
      <x:c r="K29" s="13" t="str"/>
      <x:c r="L29" s="13" t="str"/>
      <x:c r="M29" s="13" t="str"/>
      <x:c r="N29" s="14" t="str"/>
      <x:c r="O29" s="13" t="str"/>
      <x:c r="P29" s="13" t="str"/>
      <x:c r="Q29" s="13" t="str"/>
      <x:c r="R29" s="13" t="str"/>
      <x:c r="S29" s="13" t="str"/>
      <x:c r="T29" s="13" t="str">
        <x:v>No ejecutado</x:v>
      </x:c>
      <x:c r="U29" s="12" t="str">
        <x:f>IF(T29&lt;&gt;"Ejecutado","Sin ejecutar",IF(AND(J29&lt;&gt;"",K29&lt;&gt;"",L29&lt;&gt;"",M29&lt;&gt;"",ISNUMBER(N29),O29&lt;&gt;"",P29&lt;&gt;"",R29&lt;&gt;"",S29&lt;&gt;"",ISNUMBER(V29),W29&lt;&gt;"",ISNUMBER(X29)),IF(R29="Aprobado","Ejecución aceptada","Requiere acción"),"Falta evidencia o aceptación"))</x:f>
        <x:v>Sin ejecutar</x:v>
      </x:c>
      <x:c r="V29" s="14"/>
      <x:c r="W29" s="13" t="str"/>
      <x:c r="X29" s="14"/>
    </x:row>
    <x:row r="30" ht="35" customHeight="1">
      <x:c r="A30" s="11" t="str">
        <x:v>SMK-01</x:v>
      </x:c>
      <x:c r="B30" s="11" t="str">
        <x:v>TRANSVERSAL</x:v>
      </x:c>
      <x:c r="C30" s="11" t="str">
        <x:v>Smoke de flujo productivo controlado</x:v>
      </x:c>
      <x:c r="D30" s="11" t="str">
        <x:v>Crítica</x:v>
      </x:c>
      <x:c r="E30" s="11" t="str">
        <x:v>Módulo incluido, versión y usuarios habilitados, control de efectos externos</x:v>
      </x:c>
      <x:c r="F30" s="11" t="str">
        <x:v>Ingresar con rol, consultar dato vigente, recorrer flujo mínimo, calcular/guardar y verificar estado/acuse autorizado</x:v>
      </x:c>
      <x:c r="G30" s="11" t="str">
        <x:v>Flujo mínimo operativo y trazable. No duplica documentos ni comunica al proveedor desde dos sistemas. No equivale a UAT completo.</x:v>
      </x:c>
      <x:c r="H30" s="11" t="str">
        <x:v>RF</x:v>
      </x:c>
      <x:c r="I30" s="11" t="str">
        <x:v>DP</x:v>
      </x:c>
      <x:c r="J30" s="13" t="str"/>
      <x:c r="K30" s="13" t="str"/>
      <x:c r="L30" s="13" t="str"/>
      <x:c r="M30" s="13" t="str"/>
      <x:c r="N30" s="14" t="str"/>
      <x:c r="O30" s="13" t="str"/>
      <x:c r="P30" s="13" t="str"/>
      <x:c r="Q30" s="13" t="str"/>
      <x:c r="R30" s="13" t="str"/>
      <x:c r="S30" s="13" t="str"/>
      <x:c r="T30" s="13" t="str">
        <x:v>No ejecutado</x:v>
      </x:c>
      <x:c r="U30" s="11" t="str">
        <x:f>IF(T30&lt;&gt;"Ejecutado","Sin ejecutar",IF(AND(J30&lt;&gt;"",K30&lt;&gt;"",L30&lt;&gt;"",M30&lt;&gt;"",ISNUMBER(N30),O30&lt;&gt;"",P30&lt;&gt;"",R30&lt;&gt;"",S30&lt;&gt;"",ISNUMBER(V30),W30&lt;&gt;"",ISNUMBER(X30)),IF(R30="Aprobado","Ejecución aceptada","Requiere acción"),"Falta evidencia o aceptación"))</x:f>
        <x:v>Sin ejecutar</x:v>
      </x:c>
      <x:c r="V30" s="14"/>
      <x:c r="W30" s="13" t="str"/>
      <x:c r="X30" s="14"/>
    </x:row>
    <x:row r="31" ht="35" customHeight="1">
      <x:c r="A31" s="12" t="str">
        <x:v>UAT-OC-PAR-01</x:v>
      </x:c>
      <x:c r="B31" s="12" t="str">
        <x:v>M05</x:v>
      </x:c>
      <x:c r="C31" s="12" t="str">
        <x:v>OC valorizada en Connexa y DIARCO/SGM</x:v>
      </x:c>
      <x:c r="D31" s="12" t="str">
        <x:v>Crítica</x:v>
      </x:c>
      <x:c r="E31" s="12" t="str">
        <x:v>Misma OC vinculada, corte/lista/versiones y cálculo independiente aprobados</x:v>
      </x:c>
      <x:c r="F31" s="12" t="str">
        <x:v>Comparar cabecera y cada línea: unidad, cantidad, precio, descuentos, internos, IVA, redondeos y total</x:v>
      </x:c>
      <x:c r="G31" s="12" t="str">
        <x:v>Diferencia por campo registrada. Cumple tolerancias aprobadas. DIARCO/SGM sigue válido durante paralelo.</x:v>
      </x:c>
      <x:c r="H31" s="12" t="str">
        <x:v>RF</x:v>
      </x:c>
      <x:c r="I31" s="12" t="str">
        <x:v>DP</x:v>
      </x:c>
      <x:c r="J31" s="13" t="str"/>
      <x:c r="K31" s="13" t="str"/>
      <x:c r="L31" s="13" t="str"/>
      <x:c r="M31" s="13" t="str"/>
      <x:c r="N31" s="14" t="str"/>
      <x:c r="O31" s="13" t="str"/>
      <x:c r="P31" s="13" t="str"/>
      <x:c r="Q31" s="13" t="str"/>
      <x:c r="R31" s="13" t="str"/>
      <x:c r="S31" s="13" t="str"/>
      <x:c r="T31" s="13" t="str">
        <x:v>No ejecutado</x:v>
      </x:c>
      <x:c r="U31" s="12" t="str">
        <x:f>IF(T31&lt;&gt;"Ejecutado","Sin ejecutar",IF(AND(J31&lt;&gt;"",K31&lt;&gt;"",L31&lt;&gt;"",M31&lt;&gt;"",ISNUMBER(N31),O31&lt;&gt;"",P31&lt;&gt;"",R31&lt;&gt;"",S31&lt;&gt;"",ISNUMBER(V31),W31&lt;&gt;"",ISNUMBER(X31)),IF(R31="Aprobado","Ejecución aceptada","Requiere acción"),"Falta evidencia o aceptación"))</x:f>
        <x:v>Sin ejecutar</x:v>
      </x:c>
      <x:c r="V31" s="14"/>
      <x:c r="W31" s="13" t="str"/>
      <x:c r="X31" s="14"/>
    </x:row>
    <x:row r="32" ht="35" customHeight="1">
      <x:c r="A32" s="11" t="str">
        <x:v>UAT-OC-PAR-02</x:v>
      </x:c>
      <x:c r="B32" s="11" t="str">
        <x:v>M05</x:v>
      </x:c>
      <x:c r="C32" s="11" t="str">
        <x:v>Diferencia de valorización fuera de tolerancia</x:v>
      </x:c>
      <x:c r="D32" s="11" t="str">
        <x:v>Crítica</x:v>
      </x:c>
      <x:c r="E32" s="11" t="str">
        <x:v>OC de prueba con desvío controlado, sin efecto sobre proveedor</x:v>
      </x:c>
      <x:c r="F32" s="11" t="str">
        <x:v>Comparar, registrar causa/dueño, corregir configuración o dato y repetir</x:v>
      </x:c>
      <x:c r="G32" s="11" t="str">
        <x:v>No se acepta el módulo por coincidencia parcial o por totales compensados. No se sobreescribe la información oficial para hacer coincidir resultados.</x:v>
      </x:c>
      <x:c r="H32" s="11" t="str">
        <x:v>RF</x:v>
      </x:c>
      <x:c r="I32" s="11" t="str">
        <x:v>DP</x:v>
      </x:c>
      <x:c r="J32" s="13" t="str"/>
      <x:c r="K32" s="13" t="str"/>
      <x:c r="L32" s="13" t="str"/>
      <x:c r="M32" s="13" t="str"/>
      <x:c r="N32" s="14" t="str"/>
      <x:c r="O32" s="13" t="str"/>
      <x:c r="P32" s="13" t="str"/>
      <x:c r="Q32" s="13" t="str"/>
      <x:c r="R32" s="13" t="str"/>
      <x:c r="S32" s="13" t="str"/>
      <x:c r="T32" s="13" t="str">
        <x:v>No ejecutado</x:v>
      </x:c>
      <x:c r="U32" s="11" t="str">
        <x:f>IF(T32&lt;&gt;"Ejecutado","Sin ejecutar",IF(AND(J32&lt;&gt;"",K32&lt;&gt;"",L32&lt;&gt;"",M32&lt;&gt;"",ISNUMBER(N32),O32&lt;&gt;"",P32&lt;&gt;"",R32&lt;&gt;"",S32&lt;&gt;"",ISNUMBER(V32),W32&lt;&gt;"",ISNUMBER(X32)),IF(R32="Aprobado","Ejecución aceptada","Requiere acción"),"Falta evidencia o aceptación"))</x:f>
        <x:v>Sin ejecutar</x:v>
      </x:c>
      <x:c r="V32" s="14"/>
      <x:c r="W32" s="13" t="str"/>
      <x:c r="X32" s="14"/>
    </x:row>
    <x:row r="33" ht="35" customHeight="1">
      <x:c r="A33" s="12" t="str">
        <x:v>UAT-M05-3</x:v>
      </x:c>
      <x:c r="B33" s="12" t="str">
        <x:v>M05</x:v>
      </x:c>
      <x:c r="C33" s="12" t="str">
        <x:v>OC madre e hija por PDA</x:v>
      </x:c>
      <x:c r="D33" s="12" t="str">
        <x:v>Crítica</x:v>
      </x:c>
      <x:c r="E33" s="12" t="str">
        <x:v>Madre y esperado de saldo/vigencia aprobados. Recepción y usuario autorizados</x:v>
      </x:c>
      <x:c r="F33" s="12" t="str">
        <x:v>Recibir parcialmente, generar hija, conciliar saldo y probar sobre-recepción</x:v>
      </x:c>
      <x:c r="G33" s="12" t="str">
        <x:v>Hija ligada a madre por cantidad recibida. Saldo consume una vez. Exceso bloqueado. Sin duplicar recepción.</x:v>
      </x:c>
      <x:c r="H33" s="12" t="str">
        <x:v>RF</x:v>
      </x:c>
      <x:c r="I33" s="12" t="str">
        <x:v>DP</x:v>
      </x:c>
      <x:c r="J33" s="13" t="str"/>
      <x:c r="K33" s="13" t="str"/>
      <x:c r="L33" s="13" t="str"/>
      <x:c r="M33" s="13" t="str"/>
      <x:c r="N33" s="14" t="str"/>
      <x:c r="O33" s="13" t="str"/>
      <x:c r="P33" s="13" t="str"/>
      <x:c r="Q33" s="13" t="str"/>
      <x:c r="R33" s="13" t="str"/>
      <x:c r="S33" s="13" t="str"/>
      <x:c r="T33" s="13" t="str">
        <x:v>No ejecutado</x:v>
      </x:c>
      <x:c r="U33" s="12" t="str">
        <x:f>IF(T33&lt;&gt;"Ejecutado","Sin ejecutar",IF(AND(J33&lt;&gt;"",K33&lt;&gt;"",L33&lt;&gt;"",M33&lt;&gt;"",ISNUMBER(N33),O33&lt;&gt;"",P33&lt;&gt;"",R33&lt;&gt;"",S33&lt;&gt;"",ISNUMBER(V33),W33&lt;&gt;"",ISNUMBER(X33)),IF(R33="Aprobado","Ejecución aceptada","Requiere acción"),"Falta evidencia o aceptación"))</x:f>
        <x:v>Sin ejecutar</x:v>
      </x:c>
      <x:c r="V33" s="14"/>
      <x:c r="W33" s="13" t="str"/>
      <x:c r="X33" s="14"/>
    </x:row>
    <x:row r="34" ht="35" customHeight="1">
      <x:c r="A34" s="11" t="str">
        <x:v>UAT-M09-3</x:v>
      </x:c>
      <x:c r="B34" s="11" t="str">
        <x:v>M09</x:v>
      </x:c>
      <x:c r="C34" s="11" t="str">
        <x:v>Redespacho prioritario sin doble preparación</x:v>
      </x:c>
      <x:c r="D34" s="11" t="str">
        <x:v>Crítica</x:v>
      </x:c>
      <x:c r="E34" s="11" t="str">
        <x:v>Contrato VKM acordado para preparado/despachado/no preparado</x:v>
      </x:c>
      <x:c r="F34" s="11" t="str">
        <x:v>Procesar retorno parcial y validar el pendiente/redespacho</x:v>
      </x:c>
      <x:c r="G34" s="11" t="str">
        <x:v>La mercadería preparada no despachada conserva identidad y prioridad definida. No se vuelve a preparar por duplicación.</x:v>
      </x:c>
      <x:c r="H34" s="11" t="str">
        <x:v>RF</x:v>
      </x:c>
      <x:c r="I34" s="11" t="str">
        <x:v>DP</x:v>
      </x:c>
      <x:c r="J34" s="13" t="str"/>
      <x:c r="K34" s="13" t="str"/>
      <x:c r="L34" s="13" t="str"/>
      <x:c r="M34" s="13" t="str"/>
      <x:c r="N34" s="14" t="str"/>
      <x:c r="O34" s="13" t="str"/>
      <x:c r="P34" s="13" t="str"/>
      <x:c r="Q34" s="13" t="str"/>
      <x:c r="R34" s="13" t="str"/>
      <x:c r="S34" s="13" t="str"/>
      <x:c r="T34" s="13" t="str">
        <x:v>No ejecutado</x:v>
      </x:c>
      <x:c r="U34" s="11" t="str">
        <x:f>IF(T34&lt;&gt;"Ejecutado","Sin ejecutar",IF(AND(J34&lt;&gt;"",K34&lt;&gt;"",L34&lt;&gt;"",M34&lt;&gt;"",ISNUMBER(N34),O34&lt;&gt;"",P34&lt;&gt;"",R34&lt;&gt;"",S34&lt;&gt;"",ISNUMBER(V34),W34&lt;&gt;"",ISNUMBER(X34)),IF(R34="Aprobado","Ejecución aceptada","Requiere acción"),"Falta evidencia o aceptación"))</x:f>
        <x:v>Sin ejecutar</x:v>
      </x:c>
      <x:c r="V34" s="14"/>
      <x:c r="W34" s="13" t="str"/>
      <x:c r="X34" s="14"/>
    </x:row>
    <x:row r="35" ht="35" customHeight="1">
      <x:c r="A35" s="12" t="str">
        <x:v>UAT-M05-4</x:v>
      </x:c>
      <x:c r="B35" s="12" t="str">
        <x:v>M05</x:v>
      </x:c>
      <x:c r="C35" s="12" t="str">
        <x:v>Recepciones simultáneas contra OC madre</x:v>
      </x:c>
      <x:c r="D35" s="12" t="str">
        <x:v>Crítica</x:v>
      </x:c>
      <x:c r="E35" s="12" t="str">
        <x:v>Madre con saldo limitado y dos sucursales/operadores de prueba</x:v>
      </x:c>
      <x:c r="F35" s="12" t="str">
        <x:v>Intentar consumos simultáneos cuya suma supera saldo</x:v>
      </x:c>
      <x:c r="G35" s="12" t="str">
        <x:v>Nunca se excede cantidad autorizada. Ganador/rechazo son trazables y reintentar no duplica consumo.</x:v>
      </x:c>
      <x:c r="H35" s="12" t="str">
        <x:v>RF</x:v>
      </x:c>
      <x:c r="I35" s="12" t="str">
        <x:v>DP</x:v>
      </x:c>
      <x:c r="J35" s="13" t="str"/>
      <x:c r="K35" s="13" t="str"/>
      <x:c r="L35" s="13" t="str"/>
      <x:c r="M35" s="13" t="str"/>
      <x:c r="N35" s="14" t="str"/>
      <x:c r="O35" s="13" t="str"/>
      <x:c r="P35" s="13" t="str"/>
      <x:c r="Q35" s="13" t="str"/>
      <x:c r="R35" s="13" t="str"/>
      <x:c r="S35" s="13" t="str"/>
      <x:c r="T35" s="13" t="str">
        <x:v>No ejecutado</x:v>
      </x:c>
      <x:c r="U35" s="12" t="str">
        <x:f>IF(T35&lt;&gt;"Ejecutado","Sin ejecutar",IF(AND(J35&lt;&gt;"",K35&lt;&gt;"",L35&lt;&gt;"",M35&lt;&gt;"",ISNUMBER(N35),O35&lt;&gt;"",P35&lt;&gt;"",R35&lt;&gt;"",S35&lt;&gt;"",ISNUMBER(V35),W35&lt;&gt;"",ISNUMBER(X35)),IF(R35="Aprobado","Ejecución aceptada","Requiere acción"),"Falta evidencia o aceptación"))</x:f>
        <x:v>Sin ejecutar</x:v>
      </x:c>
      <x:c r="V35" s="14"/>
      <x:c r="W35" s="13" t="str"/>
      <x:c r="X35" s="14"/>
    </x:row>
    <x:row r="36" ht="35" customHeight="1">
      <x:c r="A36" s="11" t="str">
        <x:v>UAT-M06-3</x:v>
      </x:c>
      <x:c r="B36" s="11" t="str">
        <x:v>M06</x:v>
      </x:c>
      <x:c r="C36" s="11" t="str">
        <x:v>Devolución/decomiso con autorización y remito SGM</x:v>
      </x:c>
      <x:c r="D36" s="11" t="str">
        <x:v>Crítica</x:v>
      </x:c>
      <x:c r="E36" s="11" t="str">
        <x:v>Documento, causa, permisos y esperado aprobados</x:v>
      </x:c>
      <x:c r="F36" s="11" t="str">
        <x:v>Registrar, autorizar, sincronizar y consultar procesamiento final SGM</x:v>
      </x:c>
      <x:c r="G36" s="11" t="str">
        <x:v>Movimiento, remito y numeración completos una sola vez. Una fila en staging no se acepta como cierre.</x:v>
      </x:c>
      <x:c r="H36" s="11" t="str">
        <x:v>RF</x:v>
      </x:c>
      <x:c r="I36" s="11" t="str">
        <x:v>DP</x:v>
      </x:c>
      <x:c r="J36" s="13" t="str"/>
      <x:c r="K36" s="13" t="str"/>
      <x:c r="L36" s="13" t="str"/>
      <x:c r="M36" s="13" t="str"/>
      <x:c r="N36" s="14" t="str"/>
      <x:c r="O36" s="13" t="str"/>
      <x:c r="P36" s="13" t="str"/>
      <x:c r="Q36" s="13" t="str"/>
      <x:c r="R36" s="13" t="str"/>
      <x:c r="S36" s="13" t="str"/>
      <x:c r="T36" s="13" t="str">
        <x:v>No ejecutado</x:v>
      </x:c>
      <x:c r="U36" s="11" t="str">
        <x:f>IF(T36&lt;&gt;"Ejecutado","Sin ejecutar",IF(AND(J36&lt;&gt;"",K36&lt;&gt;"",L36&lt;&gt;"",M36&lt;&gt;"",ISNUMBER(N36),O36&lt;&gt;"",P36&lt;&gt;"",R36&lt;&gt;"",S36&lt;&gt;"",ISNUMBER(V36),W36&lt;&gt;"",ISNUMBER(X36)),IF(R36="Aprobado","Ejecución aceptada","Requiere acción"),"Falta evidencia o aceptación"))</x:f>
        <x:v>Sin ejecutar</x:v>
      </x:c>
      <x:c r="V36" s="14"/>
      <x:c r="W36" s="13" t="str"/>
      <x:c r="X36" s="14"/>
    </x:row>
    <x:row r="37" ht="35" customHeight="1">
      <x:c r="A37" s="12" t="str">
        <x:v>UAT-M07-3</x:v>
      </x:c>
      <x:c r="B37" s="12" t="str">
        <x:v>M07</x:v>
      </x:c>
      <x:c r="C37" s="12" t="str">
        <x:v>Foto inicial y salida de inventario</x:v>
      </x:c>
      <x:c r="D37" s="12" t="str">
        <x:v>Crítica</x:v>
      </x:c>
      <x:c r="E37" s="12" t="str">
        <x:v>Movimientos pendientes regularizados, mapa/QR y stock SGM de corte</x:v>
      </x:c>
      <x:c r="F37" s="12" t="str">
        <x:v>Cargar base, contar con PDA, cerrar, exportar y aplicar según procedimiento</x:v>
      </x:c>
      <x:c r="G37" s="12" t="str">
        <x:v>Correspondencia de artículo/ubicación y diferencia explicable. Aplicación en SGM validada por rol autorizado.</x:v>
      </x:c>
      <x:c r="H37" s="12" t="str">
        <x:v>RF</x:v>
      </x:c>
      <x:c r="I37" s="12" t="str">
        <x:v>DP</x:v>
      </x:c>
      <x:c r="J37" s="13" t="str"/>
      <x:c r="K37" s="13" t="str"/>
      <x:c r="L37" s="13" t="str"/>
      <x:c r="M37" s="13" t="str"/>
      <x:c r="N37" s="14" t="str"/>
      <x:c r="O37" s="13" t="str"/>
      <x:c r="P37" s="13" t="str"/>
      <x:c r="Q37" s="13" t="str"/>
      <x:c r="R37" s="13" t="str"/>
      <x:c r="S37" s="13" t="str"/>
      <x:c r="T37" s="13" t="str">
        <x:v>No ejecutado</x:v>
      </x:c>
      <x:c r="U37" s="12" t="str">
        <x:f>IF(T37&lt;&gt;"Ejecutado","Sin ejecutar",IF(AND(J37&lt;&gt;"",K37&lt;&gt;"",L37&lt;&gt;"",M37&lt;&gt;"",ISNUMBER(N37),O37&lt;&gt;"",P37&lt;&gt;"",R37&lt;&gt;"",S37&lt;&gt;"",ISNUMBER(V37),W37&lt;&gt;"",ISNUMBER(X37)),IF(R37="Aprobado","Ejecución aceptada","Requiere acción"),"Falta evidencia o aceptación"))</x:f>
        <x:v>Sin ejecutar</x:v>
      </x:c>
      <x:c r="V37" s="14"/>
      <x:c r="W37" s="13" t="str"/>
      <x:c r="X37" s="14"/>
    </x:row>
    <x:row r="38" ht="35" customHeight="1">
      <x:c r="A38" s="11" t="str">
        <x:v>UAT-M10-3</x:v>
      </x:c>
      <x:c r="B38" s="11" t="str">
        <x:v>M10</x:v>
      </x:c>
      <x:c r="C38" s="11" t="str">
        <x:v>OC/transferencias actualizadas tras reconexión</x:v>
      </x:c>
      <x:c r="D38" s="11" t="str">
        <x:v>Crítica</x:v>
      </x:c>
      <x:c r="E38" s="11" t="str">
        <x:v>Sincronización habilitada con ventana y latencia acordadas</x:v>
      </x:c>
      <x:c r="F38" s="11" t="str">
        <x:v>Cambiar documento de prueba, observar destino y ejecutar carga periódica controlada</x:v>
      </x:c>
      <x:c r="G38" s="11" t="str">
        <x:v>Destino se actualiza dentro del acuerdo. Carga posterior no pisa estado válido ni reabre pendientes cerrados.</x:v>
      </x:c>
      <x:c r="H38" s="11" t="str">
        <x:v>RF</x:v>
      </x:c>
      <x:c r="I38" s="11" t="str">
        <x:v>DP</x:v>
      </x:c>
      <x:c r="J38" s="13" t="str"/>
      <x:c r="K38" s="13" t="str"/>
      <x:c r="L38" s="13" t="str"/>
      <x:c r="M38" s="13" t="str"/>
      <x:c r="N38" s="14" t="str"/>
      <x:c r="O38" s="13" t="str"/>
      <x:c r="P38" s="13" t="str"/>
      <x:c r="Q38" s="13" t="str"/>
      <x:c r="R38" s="13" t="str"/>
      <x:c r="S38" s="13" t="str"/>
      <x:c r="T38" s="13" t="str">
        <x:v>No ejecutado</x:v>
      </x:c>
      <x:c r="U38" s="11" t="str">
        <x:f>IF(T38&lt;&gt;"Ejecutado","Sin ejecutar",IF(AND(J38&lt;&gt;"",K38&lt;&gt;"",L38&lt;&gt;"",M38&lt;&gt;"",ISNUMBER(N38),O38&lt;&gt;"",P38&lt;&gt;"",R38&lt;&gt;"",S38&lt;&gt;"",ISNUMBER(V38),W38&lt;&gt;"",ISNUMBER(X38)),IF(R38="Aprobado","Ejecución aceptada","Requiere acción"),"Falta evidencia o aceptación"))</x:f>
        <x:v>Sin ejecutar</x:v>
      </x:c>
      <x:c r="V38" s="14"/>
      <x:c r="W38" s="13" t="str"/>
      <x:c r="X38" s="14"/>
    </x:row>
  </x:sheetData>
  <x:conditionalFormatting sqref="U6:U38">
    <x:cfRule type="containsText" dxfId="3" priority="1" operator="containsText" text="Falta"/>
  </x:conditionalFormatting>
  <x:conditionalFormatting sqref="R6:R38">
    <x:cfRule type="containsText" dxfId="4" priority="2" operator="containsText" text="Fallido"/>
  </x:conditionalFormatting>
  <x:dataValidations count="2">
    <x:dataValidation type="list" sqref="R6:R38">
      <x:formula1>"Aprobado,Fallido,Bloqueado"</x:formula1>
    </x:dataValidation>
    <x:dataValidation type="list" sqref="T6:T38">
      <x:formula1>"No ejecutado,Ejecutado"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443d0143bc481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6" hidden="0" customWidth="1"/>
    <x:col min="2" max="2" width="40" hidden="0" customWidth="1"/>
    <x:col min="3" max="3" width="35" hidden="0" customWidth="1"/>
    <x:col min="4" max="4" width="35" hidden="0" customWidth="1"/>
    <x:col min="5" max="5" width="42" hidden="0" customWidth="1"/>
    <x:col min="6" max="6" width="34" hidden="0" customWidth="1"/>
    <x:col min="7" max="7" width="58" hidden="0" customWidth="1"/>
    <x:col min="8" max="8" width="21" hidden="0" customWidth="1"/>
    <x:col min="9" max="9" width="28" hidden="0" customWidth="1"/>
    <x:col min="10" max="10" width="40" hidden="0" customWidth="1"/>
    <x:col min="11" max="11" width="2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5" customHeight="1">
      <x:c r="A2" s="2" t="str">
        <x:v>Comparación de OC valorizada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0" customHeight="1">
      <x:c r="A3" s="3" t="str">
        <x:v>Duplicar el bloque por OC y línea. El total no compensa diferencias de detalle. DIARCO/SGM mantiene validez en paralelo.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8" t="str">
        <x:v>OC / ejecución</x:v>
      </x:c>
      <x:c r="B5" s="8" t="str">
        <x:v>Línea / campo</x:v>
      </x:c>
      <x:c r="C5" s="8" t="str">
        <x:v>Connexa</x:v>
      </x:c>
      <x:c r="D5" s="8" t="str">
        <x:v>DIARCO / SGM (válido)</x:v>
      </x:c>
      <x:c r="E5" s="8" t="str">
        <x:v>Esperado independiente</x:v>
      </x:c>
      <x:c r="F5" s="8" t="str">
        <x:v>Tolerancia acordada</x:v>
      </x:c>
      <x:c r="G5" s="8" t="str">
        <x:v>Diferencia / causa</x:v>
      </x:c>
      <x:c r="H5" s="8" t="str">
        <x:v>Dictamen</x:v>
      </x:c>
      <x:c r="I5" s="8" t="str">
        <x:v>Responsable</x:v>
      </x:c>
      <x:c r="J5" s="8" t="str">
        <x:v>Evidencia</x:v>
      </x:c>
      <x:c r="K5" s="8" t="str">
        <x:v>Fecha comparación</x:v>
      </x:c>
    </x:row>
    <x:row r="6" ht="28" customHeight="1">
      <x:c r="A6" s="13" t="str"/>
      <x:c r="B6" s="13" t="str">
        <x:v>Proveedor</x:v>
      </x:c>
      <x:c r="C6" s="13" t="str"/>
      <x:c r="D6" s="13" t="str"/>
      <x:c r="E6" s="13" t="str"/>
      <x:c r="F6" s="13" t="str"/>
      <x:c r="G6" s="13" t="str"/>
      <x:c r="H6" s="13" t="str">
        <x:v>Pendiente</x:v>
      </x:c>
      <x:c r="I6" s="13" t="str"/>
      <x:c r="J6" s="13" t="str"/>
      <x:c r="K6" s="14"/>
    </x:row>
    <x:row r="7" ht="28" customHeight="1">
      <x:c r="A7" s="13" t="str"/>
      <x:c r="B7" s="13" t="str">
        <x:v>Sucursal</x:v>
      </x:c>
      <x:c r="C7" s="13" t="str"/>
      <x:c r="D7" s="13" t="str"/>
      <x:c r="E7" s="13" t="str"/>
      <x:c r="F7" s="13" t="str"/>
      <x:c r="G7" s="13" t="str"/>
      <x:c r="H7" s="13" t="str">
        <x:v>Pendiente</x:v>
      </x:c>
      <x:c r="I7" s="13" t="str"/>
      <x:c r="J7" s="13" t="str"/>
      <x:c r="K7" s="14"/>
    </x:row>
    <x:row r="8" ht="28" customHeight="1">
      <x:c r="A8" s="13" t="str"/>
      <x:c r="B8" s="13" t="str">
        <x:v>Fecha OC / corte</x:v>
      </x:c>
      <x:c r="C8" s="13" t="str"/>
      <x:c r="D8" s="13" t="str"/>
      <x:c r="E8" s="13" t="str"/>
      <x:c r="F8" s="13" t="str"/>
      <x:c r="G8" s="13" t="str"/>
      <x:c r="H8" s="13" t="str">
        <x:v>Pendiente</x:v>
      </x:c>
      <x:c r="I8" s="13" t="str"/>
      <x:c r="J8" s="13" t="str"/>
      <x:c r="K8" s="14"/>
    </x:row>
    <x:row r="9" ht="28" customHeight="1">
      <x:c r="A9" s="13" t="str"/>
      <x:c r="B9" s="13" t="str">
        <x:v>Lista / versión</x:v>
      </x:c>
      <x:c r="C9" s="13" t="str"/>
      <x:c r="D9" s="13" t="str"/>
      <x:c r="E9" s="13" t="str"/>
      <x:c r="F9" s="13" t="str"/>
      <x:c r="G9" s="13" t="str"/>
      <x:c r="H9" s="13" t="str">
        <x:v>Pendiente</x:v>
      </x:c>
      <x:c r="I9" s="13" t="str"/>
      <x:c r="J9" s="13" t="str"/>
      <x:c r="K9" s="14"/>
    </x:row>
    <x:row r="10" ht="28" customHeight="1">
      <x:c r="A10" s="13" t="str"/>
      <x:c r="B10" s="13" t="str">
        <x:v>Moneda</x:v>
      </x:c>
      <x:c r="C10" s="13" t="str"/>
      <x:c r="D10" s="13" t="str"/>
      <x:c r="E10" s="13" t="str"/>
      <x:c r="F10" s="13" t="str"/>
      <x:c r="G10" s="13" t="str"/>
      <x:c r="H10" s="13" t="str">
        <x:v>Pendiente</x:v>
      </x:c>
      <x:c r="I10" s="13" t="str"/>
      <x:c r="J10" s="13" t="str"/>
      <x:c r="K10" s="14"/>
    </x:row>
    <x:row r="11" ht="28" customHeight="1">
      <x:c r="A11" s="13" t="str"/>
      <x:c r="B11" s="13" t="str">
        <x:v>Unidad de compra</x:v>
      </x:c>
      <x:c r="C11" s="13" t="str"/>
      <x:c r="D11" s="13" t="str"/>
      <x:c r="E11" s="13" t="str"/>
      <x:c r="F11" s="13" t="str"/>
      <x:c r="G11" s="13" t="str"/>
      <x:c r="H11" s="13" t="str">
        <x:v>Pendiente</x:v>
      </x:c>
      <x:c r="I11" s="13" t="str"/>
      <x:c r="J11" s="13" t="str"/>
      <x:c r="K11" s="14"/>
    </x:row>
    <x:row r="12" ht="28" customHeight="1">
      <x:c r="A12" s="13" t="str"/>
      <x:c r="B12" s="13" t="str">
        <x:v>Artículo / línea</x:v>
      </x:c>
      <x:c r="C12" s="13" t="str"/>
      <x:c r="D12" s="13" t="str"/>
      <x:c r="E12" s="13" t="str"/>
      <x:c r="F12" s="13" t="str"/>
      <x:c r="G12" s="13" t="str"/>
      <x:c r="H12" s="13" t="str">
        <x:v>Pendiente</x:v>
      </x:c>
      <x:c r="I12" s="13" t="str"/>
      <x:c r="J12" s="13" t="str"/>
      <x:c r="K12" s="14"/>
    </x:row>
    <x:row r="13" ht="28" customHeight="1">
      <x:c r="A13" s="13" t="str"/>
      <x:c r="B13" s="13" t="str">
        <x:v>Cantidad</x:v>
      </x:c>
      <x:c r="C13" s="13" t="str"/>
      <x:c r="D13" s="13" t="str"/>
      <x:c r="E13" s="13" t="str"/>
      <x:c r="F13" s="13" t="str"/>
      <x:c r="G13" s="13" t="str"/>
      <x:c r="H13" s="13" t="str">
        <x:v>Pendiente</x:v>
      </x:c>
      <x:c r="I13" s="13" t="str"/>
      <x:c r="J13" s="13" t="str"/>
      <x:c r="K13" s="14"/>
    </x:row>
    <x:row r="14" ht="28" customHeight="1">
      <x:c r="A14" s="13" t="str"/>
      <x:c r="B14" s="13" t="str">
        <x:v>Precio lista</x:v>
      </x:c>
      <x:c r="C14" s="13" t="str"/>
      <x:c r="D14" s="13" t="str"/>
      <x:c r="E14" s="13" t="str"/>
      <x:c r="F14" s="13" t="str"/>
      <x:c r="G14" s="13" t="str"/>
      <x:c r="H14" s="13" t="str">
        <x:v>Pendiente</x:v>
      </x:c>
      <x:c r="I14" s="13" t="str"/>
      <x:c r="J14" s="13" t="str"/>
      <x:c r="K14" s="14"/>
    </x:row>
    <x:row r="15" ht="28" customHeight="1">
      <x:c r="A15" s="13" t="str"/>
      <x:c r="B15" s="13" t="str">
        <x:v>Descuento / orden de aplicación</x:v>
      </x:c>
      <x:c r="C15" s="13" t="str"/>
      <x:c r="D15" s="13" t="str"/>
      <x:c r="E15" s="13" t="str"/>
      <x:c r="F15" s="13" t="str"/>
      <x:c r="G15" s="13" t="str"/>
      <x:c r="H15" s="13" t="str">
        <x:v>Pendiente</x:v>
      </x:c>
      <x:c r="I15" s="13" t="str"/>
      <x:c r="J15" s="13" t="str"/>
      <x:c r="K15" s="14"/>
    </x:row>
    <x:row r="16" ht="28" customHeight="1">
      <x:c r="A16" s="13" t="str"/>
      <x:c r="B16" s="13" t="str">
        <x:v>Neto OC</x:v>
      </x:c>
      <x:c r="C16" s="13" t="str"/>
      <x:c r="D16" s="13" t="str"/>
      <x:c r="E16" s="13" t="str"/>
      <x:c r="F16" s="13" t="str"/>
      <x:c r="G16" s="13" t="str"/>
      <x:c r="H16" s="13" t="str">
        <x:v>Pendiente</x:v>
      </x:c>
      <x:c r="I16" s="13" t="str"/>
      <x:c r="J16" s="13" t="str"/>
      <x:c r="K16" s="14"/>
    </x:row>
    <x:row r="17" ht="28" customHeight="1">
      <x:c r="A17" s="13" t="str"/>
      <x:c r="B17" s="13" t="str">
        <x:v>Impuestos internos</x:v>
      </x:c>
      <x:c r="C17" s="13" t="str"/>
      <x:c r="D17" s="13" t="str"/>
      <x:c r="E17" s="13" t="str"/>
      <x:c r="F17" s="13" t="str"/>
      <x:c r="G17" s="13" t="str"/>
      <x:c r="H17" s="13" t="str">
        <x:v>Pendiente</x:v>
      </x:c>
      <x:c r="I17" s="13" t="str"/>
      <x:c r="J17" s="13" t="str"/>
      <x:c r="K17" s="14"/>
    </x:row>
    <x:row r="18" ht="28" customHeight="1">
      <x:c r="A18" s="13" t="str"/>
      <x:c r="B18" s="13" t="str">
        <x:v>IVA</x:v>
      </x:c>
      <x:c r="C18" s="13" t="str"/>
      <x:c r="D18" s="13" t="str"/>
      <x:c r="E18" s="13" t="str"/>
      <x:c r="F18" s="13" t="str"/>
      <x:c r="G18" s="13" t="str"/>
      <x:c r="H18" s="13" t="str">
        <x:v>Pendiente</x:v>
      </x:c>
      <x:c r="I18" s="13" t="str"/>
      <x:c r="J18" s="13" t="str"/>
      <x:c r="K18" s="14"/>
    </x:row>
    <x:row r="19" ht="28" customHeight="1">
      <x:c r="A19" s="13" t="str"/>
      <x:c r="B19" s="13" t="str">
        <x:v>Redondeo por línea</x:v>
      </x:c>
      <x:c r="C19" s="13" t="str"/>
      <x:c r="D19" s="13" t="str"/>
      <x:c r="E19" s="13" t="str"/>
      <x:c r="F19" s="13" t="str"/>
      <x:c r="G19" s="13" t="str"/>
      <x:c r="H19" s="13" t="str">
        <x:v>Pendiente</x:v>
      </x:c>
      <x:c r="I19" s="13" t="str"/>
      <x:c r="J19" s="13" t="str"/>
      <x:c r="K19" s="14"/>
    </x:row>
    <x:row r="20" ht="28" customHeight="1">
      <x:c r="A20" s="13" t="str"/>
      <x:c r="B20" s="13" t="str">
        <x:v>Subtotal / total</x:v>
      </x:c>
      <x:c r="C20" s="13" t="str"/>
      <x:c r="D20" s="13" t="str"/>
      <x:c r="E20" s="13" t="str"/>
      <x:c r="F20" s="13" t="str"/>
      <x:c r="G20" s="13" t="str"/>
      <x:c r="H20" s="13" t="str">
        <x:v>Pendiente</x:v>
      </x:c>
      <x:c r="I20" s="13" t="str"/>
      <x:c r="J20" s="13" t="str"/>
      <x:c r="K20" s="14"/>
    </x:row>
    <x:row r="21" ht="28" customHeight="1">
      <x:c r="A21" s="13" t="str"/>
      <x:c r="B21" s="13" t="str">
        <x:v>Estado aprobado</x:v>
      </x:c>
      <x:c r="C21" s="13" t="str"/>
      <x:c r="D21" s="13" t="str"/>
      <x:c r="E21" s="13" t="str"/>
      <x:c r="F21" s="13" t="str"/>
      <x:c r="G21" s="13" t="str"/>
      <x:c r="H21" s="13" t="str">
        <x:v>Pendiente</x:v>
      </x:c>
      <x:c r="I21" s="13" t="str"/>
      <x:c r="J21" s="13" t="str"/>
      <x:c r="K21" s="14"/>
    </x:row>
    <x:row r="22" ht="28" customHeight="1">
      <x:c r="A22" s="13" t="str"/>
      <x:c r="B22" s="13" t="str">
        <x:v>Identificador Connexa–SGM</x:v>
      </x:c>
      <x:c r="C22" s="13" t="str"/>
      <x:c r="D22" s="13" t="str"/>
      <x:c r="E22" s="13" t="str"/>
      <x:c r="F22" s="13" t="str"/>
      <x:c r="G22" s="13" t="str"/>
      <x:c r="H22" s="13" t="str">
        <x:v>Pendiente</x:v>
      </x:c>
      <x:c r="I22" s="13" t="str"/>
      <x:c r="J22" s="13" t="str"/>
      <x:c r="K22" s="14"/>
    </x:row>
    <x:row r="23" ht="28" customHeight="1">
      <x:c r="A23" s="13" t="str"/>
      <x:c r="B23" s="13" t="str">
        <x:v>Emisor único al proveedor</x:v>
      </x:c>
      <x:c r="C23" s="13" t="str"/>
      <x:c r="D23" s="13" t="str"/>
      <x:c r="E23" s="13" t="str"/>
      <x:c r="F23" s="13" t="str"/>
      <x:c r="G23" s="13" t="str"/>
      <x:c r="H23" s="13" t="str">
        <x:v>Pendiente</x:v>
      </x:c>
      <x:c r="I23" s="13" t="str"/>
      <x:c r="J23" s="13" t="str"/>
      <x:c r="K23" s="14"/>
    </x:row>
  </x:sheetData>
  <x:conditionalFormatting sqref="H6:H23">
    <x:cfRule type="containsText" dxfId="5" priority="1" operator="containsText" text="Fuera"/>
  </x:conditionalFormatting>
  <x:dataValidations count="1">
    <x:dataValidation type="list" sqref="H6:H23">
      <x:formula1>"Pendiente,Coincide,Dentro de tolerancia,Fuera de tolerancia"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b6e22559724c90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16" hidden="0" customWidth="1"/>
    <x:col min="3" max="3" width="27" hidden="0" customWidth="1"/>
    <x:col min="4" max="4" width="80" hidden="0" customWidth="1"/>
    <x:col min="5" max="5" width="34" hidden="0" customWidth="1"/>
    <x:col min="6" max="6" width="20" hidden="0" customWidth="1"/>
    <x:col min="7" max="7" width="23" hidden="0" customWidth="1"/>
    <x:col min="8" max="8" width="60" hidden="0" customWidth="1"/>
    <x:col min="9" max="9" width="27" hidden="0" customWidth="1"/>
    <x:col min="10" max="10" width="40" hidden="0" customWidth="1"/>
    <x:col min="11" max="11" width="2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5" customHeight="1">
      <x:c r="A2" s="2" t="str">
        <x:v>Competencia y formación en cascada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0" customHeight="1">
      <x:c r="A3" s="3" t="str">
        <x:v>Agregar usuarios finales por rol. Asistencia y aptitud son registros distintos.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8" t="str">
        <x:v>Módulo</x:v>
      </x:c>
      <x:c r="B5" s="8" t="str">
        <x:v>Rol</x:v>
      </x:c>
      <x:c r="C5" s="8" t="str">
        <x:v>Persona</x:v>
      </x:c>
      <x:c r="D5" s="8" t="str">
        <x:v>Qué debe demostrar</x:v>
      </x:c>
      <x:c r="E5" s="8" t="str">
        <x:v>Versión / material</x:v>
      </x:c>
      <x:c r="F5" s="8" t="str">
        <x:v>Fecha evaluación</x:v>
      </x:c>
      <x:c r="G5" s="8" t="str">
        <x:v>Resultado</x:v>
      </x:c>
      <x:c r="H5" s="8" t="str">
        <x:v>Brecha / acción</x:v>
      </x:c>
      <x:c r="I5" s="8" t="str">
        <x:v>Evaluador</x:v>
      </x:c>
      <x:c r="J5" s="8" t="str">
        <x:v>Evidencia</x:v>
      </x:c>
      <x:c r="K5" s="8" t="str">
        <x:v>Fecha reprueba</x:v>
      </x:c>
    </x:row>
    <x:row r="6" ht="35" customHeight="1">
      <x:c r="A6" s="11" t="str">
        <x:v>M01</x:v>
      </x:c>
      <x:c r="B6" s="11" t="str">
        <x:v>Titular</x:v>
      </x:c>
      <x:c r="C6" s="13" t="str"/>
      <x:c r="D6" s="13" t="str">
        <x:v>Identificadores, unidad/bulto, estados, permisos, sentido de sincronización y prevención de duplicados.</x:v>
      </x:c>
      <x:c r="E6" s="13" t="str"/>
      <x:c r="F6" s="14"/>
      <x:c r="G6" s="13" t="str">
        <x:v>No evaluado</x:v>
      </x:c>
      <x:c r="H6" s="13" t="str"/>
      <x:c r="I6" s="13" t="str"/>
      <x:c r="J6" s="13" t="str"/>
      <x:c r="K6" s="14" t="str"/>
    </x:row>
    <x:row r="7" ht="35" customHeight="1">
      <x:c r="A7" s="12" t="str">
        <x:v>M01</x:v>
      </x:c>
      <x:c r="B7" s="12" t="str">
        <x:v>Suplente</x:v>
      </x:c>
      <x:c r="C7" s="13" t="str"/>
      <x:c r="D7" s="13" t="str">
        <x:v>Identificadores, unidad/bulto, estados, permisos, sentido de sincronización y prevención de duplicados.</x:v>
      </x:c>
      <x:c r="E7" s="13" t="str"/>
      <x:c r="F7" s="14"/>
      <x:c r="G7" s="13" t="str">
        <x:v>No evaluado</x:v>
      </x:c>
      <x:c r="H7" s="13" t="str"/>
      <x:c r="I7" s="13" t="str"/>
      <x:c r="J7" s="13" t="str"/>
      <x:c r="K7" s="14" t="str"/>
    </x:row>
    <x:row r="8" ht="35" customHeight="1">
      <x:c r="A8" s="11" t="str">
        <x:v>M02</x:v>
      </x:c>
      <x:c r="B8" s="11" t="str">
        <x:v>Titular</x:v>
      </x:c>
      <x:c r="C8" s="13" t="str"/>
      <x:c r="D8" s="13" t="str">
        <x:v>Diferencias entre cluster, segmento y grupo de sucursales de compra. Herencia, vigencias y estados.</x:v>
      </x:c>
      <x:c r="E8" s="13" t="str"/>
      <x:c r="F8" s="14"/>
      <x:c r="G8" s="13" t="str">
        <x:v>No evaluado</x:v>
      </x:c>
      <x:c r="H8" s="13" t="str"/>
      <x:c r="I8" s="13" t="str"/>
      <x:c r="J8" s="13" t="str"/>
      <x:c r="K8" s="14" t="str"/>
    </x:row>
    <x:row r="9" ht="35" customHeight="1">
      <x:c r="A9" s="12" t="str">
        <x:v>M02</x:v>
      </x:c>
      <x:c r="B9" s="12" t="str">
        <x:v>Suplente</x:v>
      </x:c>
      <x:c r="C9" s="13" t="str"/>
      <x:c r="D9" s="13" t="str">
        <x:v>Diferencias entre cluster, segmento y grupo de sucursales de compra. Herencia, vigencias y estados.</x:v>
      </x:c>
      <x:c r="E9" s="13" t="str"/>
      <x:c r="F9" s="14"/>
      <x:c r="G9" s="13" t="str">
        <x:v>No evaluado</x:v>
      </x:c>
      <x:c r="H9" s="13" t="str"/>
      <x:c r="I9" s="13" t="str"/>
      <x:c r="J9" s="13" t="str"/>
      <x:c r="K9" s="14" t="str"/>
    </x:row>
    <x:row r="10" ht="35" customHeight="1">
      <x:c r="A10" s="11" t="str">
        <x:v>M03</x:v>
      </x:c>
      <x:c r="B10" s="11" t="str">
        <x:v>Titular</x:v>
      </x:c>
      <x:c r="C10" s="13" t="str"/>
      <x:c r="D10" s="13" t="str">
        <x:v>Precio lista, neto OC y neto estadístico. Descuentos y reglas dentro/fuera de OC. Orden de aplicación y vigencia.</x:v>
      </x:c>
      <x:c r="E10" s="13" t="str"/>
      <x:c r="F10" s="14"/>
      <x:c r="G10" s="13" t="str">
        <x:v>No evaluado</x:v>
      </x:c>
      <x:c r="H10" s="13" t="str"/>
      <x:c r="I10" s="13" t="str"/>
      <x:c r="J10" s="13" t="str"/>
      <x:c r="K10" s="14" t="str"/>
    </x:row>
    <x:row r="11" ht="35" customHeight="1">
      <x:c r="A11" s="12" t="str">
        <x:v>M03</x:v>
      </x:c>
      <x:c r="B11" s="12" t="str">
        <x:v>Suplente</x:v>
      </x:c>
      <x:c r="C11" s="13" t="str"/>
      <x:c r="D11" s="13" t="str">
        <x:v>Precio lista, neto OC y neto estadístico. Descuentos y reglas dentro/fuera de OC. Orden de aplicación y vigencia.</x:v>
      </x:c>
      <x:c r="E11" s="13" t="str"/>
      <x:c r="F11" s="14"/>
      <x:c r="G11" s="13" t="str">
        <x:v>No evaluado</x:v>
      </x:c>
      <x:c r="H11" s="13" t="str"/>
      <x:c r="I11" s="13" t="str"/>
      <x:c r="J11" s="13" t="str"/>
      <x:c r="K11" s="14" t="str"/>
    </x:row>
    <x:row r="12" ht="35" customHeight="1">
      <x:c r="A12" s="11" t="str">
        <x:v>M04</x:v>
      </x:c>
      <x:c r="B12" s="11" t="str">
        <x:v>Titular</x:v>
      </x:c>
      <x:c r="C12" s="13" t="str"/>
      <x:c r="D12" s="13" t="str">
        <x:v>Pronóstico, días de stock, unidades de compra, pendientes, trazabilidad y límites de aprobación.</x:v>
      </x:c>
      <x:c r="E12" s="13" t="str"/>
      <x:c r="F12" s="14"/>
      <x:c r="G12" s="13" t="str">
        <x:v>No evaluado</x:v>
      </x:c>
      <x:c r="H12" s="13" t="str"/>
      <x:c r="I12" s="13" t="str"/>
      <x:c r="J12" s="13" t="str"/>
      <x:c r="K12" s="14" t="str"/>
    </x:row>
    <x:row r="13" ht="35" customHeight="1">
      <x:c r="A13" s="12" t="str">
        <x:v>M04</x:v>
      </x:c>
      <x:c r="B13" s="12" t="str">
        <x:v>Suplente</x:v>
      </x:c>
      <x:c r="C13" s="13" t="str"/>
      <x:c r="D13" s="13" t="str">
        <x:v>Pronóstico, días de stock, unidades de compra, pendientes, trazabilidad y límites de aprobación.</x:v>
      </x:c>
      <x:c r="E13" s="13" t="str"/>
      <x:c r="F13" s="14"/>
      <x:c r="G13" s="13" t="str">
        <x:v>No evaluado</x:v>
      </x:c>
      <x:c r="H13" s="13" t="str"/>
      <x:c r="I13" s="13" t="str"/>
      <x:c r="J13" s="13" t="str"/>
      <x:c r="K13" s="14" t="str"/>
    </x:row>
    <x:row r="14" ht="35" customHeight="1">
      <x:c r="A14" s="11" t="str">
        <x:v>M05</x:v>
      </x:c>
      <x:c r="B14" s="11" t="str">
        <x:v>Titular</x:v>
      </x:c>
      <x:c r="C14" s="13" t="str"/>
      <x:c r="D14" s="13" t="str">
        <x:v>Estados de OC, precio/impuestos, permisos, acuse técnico y funcional, reintento y contingencia.</x:v>
      </x:c>
      <x:c r="E14" s="13" t="str"/>
      <x:c r="F14" s="14"/>
      <x:c r="G14" s="13" t="str">
        <x:v>No evaluado</x:v>
      </x:c>
      <x:c r="H14" s="13" t="str"/>
      <x:c r="I14" s="13" t="str"/>
      <x:c r="J14" s="13" t="str"/>
      <x:c r="K14" s="14" t="str"/>
    </x:row>
    <x:row r="15" ht="35" customHeight="1">
      <x:c r="A15" s="12" t="str">
        <x:v>M05</x:v>
      </x:c>
      <x:c r="B15" s="12" t="str">
        <x:v>Suplente</x:v>
      </x:c>
      <x:c r="C15" s="13" t="str"/>
      <x:c r="D15" s="13" t="str">
        <x:v>Estados de OC, precio/impuestos, permisos, acuse técnico y funcional, reintento y contingencia.</x:v>
      </x:c>
      <x:c r="E15" s="13" t="str"/>
      <x:c r="F15" s="14"/>
      <x:c r="G15" s="13" t="str">
        <x:v>No evaluado</x:v>
      </x:c>
      <x:c r="H15" s="13" t="str"/>
      <x:c r="I15" s="13" t="str"/>
      <x:c r="J15" s="13" t="str"/>
      <x:c r="K15" s="14" t="str"/>
    </x:row>
    <x:row r="16" ht="35" customHeight="1">
      <x:c r="A16" s="11" t="str">
        <x:v>M06</x:v>
      </x:c>
      <x:c r="B16" s="11" t="str">
        <x:v>Titular</x:v>
      </x:c>
      <x:c r="C16" s="13" t="str"/>
      <x:c r="D16" s="13" t="str">
        <x:v>OC/transferencia pendiente, unidad de recepción, recepción parcial y final, diferencias y contingencia.</x:v>
      </x:c>
      <x:c r="E16" s="13" t="str"/>
      <x:c r="F16" s="14"/>
      <x:c r="G16" s="13" t="str">
        <x:v>No evaluado</x:v>
      </x:c>
      <x:c r="H16" s="13" t="str"/>
      <x:c r="I16" s="13" t="str"/>
      <x:c r="J16" s="13" t="str"/>
      <x:c r="K16" s="14" t="str"/>
    </x:row>
    <x:row r="17" ht="35" customHeight="1">
      <x:c r="A17" s="12" t="str">
        <x:v>M06</x:v>
      </x:c>
      <x:c r="B17" s="12" t="str">
        <x:v>Suplente</x:v>
      </x:c>
      <x:c r="C17" s="13" t="str"/>
      <x:c r="D17" s="13" t="str">
        <x:v>OC/transferencia pendiente, unidad de recepción, recepción parcial y final, diferencias y contingencia.</x:v>
      </x:c>
      <x:c r="E17" s="13" t="str"/>
      <x:c r="F17" s="14"/>
      <x:c r="G17" s="13" t="str">
        <x:v>No evaluado</x:v>
      </x:c>
      <x:c r="H17" s="13" t="str"/>
      <x:c r="I17" s="13" t="str"/>
      <x:c r="J17" s="13" t="str"/>
      <x:c r="K17" s="14" t="str"/>
    </x:row>
    <x:row r="18" ht="35" customHeight="1">
      <x:c r="A18" s="11" t="str">
        <x:v>M07</x:v>
      </x:c>
      <x:c r="B18" s="11" t="str">
        <x:v>Titular</x:v>
      </x:c>
      <x:c r="C18" s="13" t="str"/>
      <x:c r="D18" s="13" t="str">
        <x:v>Foto de stock, corte, conteo/recuento, diferencias, aprobación y trazabilidad de ajuste.</x:v>
      </x:c>
      <x:c r="E18" s="13" t="str"/>
      <x:c r="F18" s="14"/>
      <x:c r="G18" s="13" t="str">
        <x:v>No evaluado</x:v>
      </x:c>
      <x:c r="H18" s="13" t="str"/>
      <x:c r="I18" s="13" t="str"/>
      <x:c r="J18" s="13" t="str"/>
      <x:c r="K18" s="14" t="str"/>
    </x:row>
    <x:row r="19" ht="35" customHeight="1">
      <x:c r="A19" s="12" t="str">
        <x:v>M07</x:v>
      </x:c>
      <x:c r="B19" s="12" t="str">
        <x:v>Suplente</x:v>
      </x:c>
      <x:c r="C19" s="13" t="str"/>
      <x:c r="D19" s="13" t="str">
        <x:v>Foto de stock, corte, conteo/recuento, diferencias, aprobación y trazabilidad de ajuste.</x:v>
      </x:c>
      <x:c r="E19" s="13" t="str"/>
      <x:c r="F19" s="14"/>
      <x:c r="G19" s="13" t="str">
        <x:v>No evaluado</x:v>
      </x:c>
      <x:c r="H19" s="13" t="str"/>
      <x:c r="I19" s="13" t="str"/>
      <x:c r="J19" s="13" t="str"/>
      <x:c r="K19" s="14" t="str"/>
    </x:row>
    <x:row r="20" ht="35" customHeight="1">
      <x:c r="A20" s="11" t="str">
        <x:v>M08</x:v>
      </x:c>
      <x:c r="B20" s="11" t="str">
        <x:v>Titular</x:v>
      </x:c>
      <x:c r="C20" s="13" t="str"/>
      <x:c r="D20" s="13" t="str">
        <x:v>Necesidad frente a orden/reserva/viaje, stock neto, PDVB, cobertura, exclusiones y saldo del backlog.</x:v>
      </x:c>
      <x:c r="E20" s="13" t="str"/>
      <x:c r="F20" s="14"/>
      <x:c r="G20" s="13" t="str">
        <x:v>No evaluado</x:v>
      </x:c>
      <x:c r="H20" s="13" t="str"/>
      <x:c r="I20" s="13" t="str"/>
      <x:c r="J20" s="13" t="str"/>
      <x:c r="K20" s="14" t="str"/>
    </x:row>
    <x:row r="21" ht="35" customHeight="1">
      <x:c r="A21" s="12" t="str">
        <x:v>M08</x:v>
      </x:c>
      <x:c r="B21" s="12" t="str">
        <x:v>Suplente</x:v>
      </x:c>
      <x:c r="C21" s="13" t="str"/>
      <x:c r="D21" s="13" t="str">
        <x:v>Necesidad frente a orden/reserva/viaje, stock neto, PDVB, cobertura, exclusiones y saldo del backlog.</x:v>
      </x:c>
      <x:c r="E21" s="13" t="str"/>
      <x:c r="F21" s="14"/>
      <x:c r="G21" s="13" t="str">
        <x:v>No evaluado</x:v>
      </x:c>
      <x:c r="H21" s="13" t="str"/>
      <x:c r="I21" s="13" t="str"/>
      <x:c r="J21" s="13" t="str"/>
      <x:c r="K21" s="14" t="str"/>
    </x:row>
    <x:row r="22" ht="35" customHeight="1">
      <x:c r="A22" s="11" t="str">
        <x:v>M09</x:v>
      </x:c>
      <x:c r="B22" s="11" t="str">
        <x:v>Titular</x:v>
      </x:c>
      <x:c r="C22" s="13" t="str"/>
      <x:c r="D22" s="13" t="str">
        <x:v>Necesidad, transferencia, viaje y movimiento son objetos distintos. Exportación/importación, acuse y estado oficial durante convivencia.</x:v>
      </x:c>
      <x:c r="E22" s="13" t="str"/>
      <x:c r="F22" s="14"/>
      <x:c r="G22" s="13" t="str">
        <x:v>No evaluado</x:v>
      </x:c>
      <x:c r="H22" s="13" t="str"/>
      <x:c r="I22" s="13" t="str"/>
      <x:c r="J22" s="13" t="str"/>
      <x:c r="K22" s="14" t="str"/>
    </x:row>
    <x:row r="23" ht="35" customHeight="1">
      <x:c r="A23" s="12" t="str">
        <x:v>M09</x:v>
      </x:c>
      <x:c r="B23" s="12" t="str">
        <x:v>Suplente</x:v>
      </x:c>
      <x:c r="C23" s="13" t="str"/>
      <x:c r="D23" s="13" t="str">
        <x:v>Necesidad, transferencia, viaje y movimiento son objetos distintos. Exportación/importación, acuse y estado oficial durante convivencia.</x:v>
      </x:c>
      <x:c r="E23" s="13" t="str"/>
      <x:c r="F23" s="14"/>
      <x:c r="G23" s="13" t="str">
        <x:v>No evaluado</x:v>
      </x:c>
      <x:c r="H23" s="13" t="str"/>
      <x:c r="I23" s="13" t="str"/>
      <x:c r="J23" s="13" t="str"/>
      <x:c r="K23" s="14" t="str"/>
    </x:row>
    <x:row r="24" ht="35" customHeight="1">
      <x:c r="A24" s="11" t="str">
        <x:v>M10</x:v>
      </x:c>
      <x:c r="B24" s="11" t="str">
        <x:v>Titular</x:v>
      </x:c>
      <x:c r="C24" s="13" t="str"/>
      <x:c r="D24" s="13" t="str">
        <x:v>Stock oficial frente a proyecciones, cortes, correlación, conciliación y límites del reproceso.</x:v>
      </x:c>
      <x:c r="E24" s="13" t="str"/>
      <x:c r="F24" s="14"/>
      <x:c r="G24" s="13" t="str">
        <x:v>No evaluado</x:v>
      </x:c>
      <x:c r="H24" s="13" t="str"/>
      <x:c r="I24" s="13" t="str"/>
      <x:c r="J24" s="13" t="str"/>
      <x:c r="K24" s="14" t="str"/>
    </x:row>
    <x:row r="25" ht="35" customHeight="1">
      <x:c r="A25" s="12" t="str">
        <x:v>M10</x:v>
      </x:c>
      <x:c r="B25" s="12" t="str">
        <x:v>Suplente</x:v>
      </x:c>
      <x:c r="C25" s="13" t="str"/>
      <x:c r="D25" s="13" t="str">
        <x:v>Stock oficial frente a proyecciones, cortes, correlación, conciliación y límites del reproceso.</x:v>
      </x:c>
      <x:c r="E25" s="13" t="str"/>
      <x:c r="F25" s="14"/>
      <x:c r="G25" s="13" t="str">
        <x:v>No evaluado</x:v>
      </x:c>
      <x:c r="H25" s="13" t="str"/>
      <x:c r="I25" s="13" t="str"/>
      <x:c r="J25" s="13" t="str"/>
      <x:c r="K25" s="14" t="str"/>
    </x:row>
  </x:sheetData>
  <x:dataValidations count="1">
    <x:dataValidation type="list" sqref="G6:G25">
      <x:formula1>"No evaluado,Apto,Requiere práctica"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5c0fbe49964f2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60" hidden="0" customWidth="1"/>
    <x:col min="3" max="3" width="10" hidden="0" customWidth="1"/>
    <x:col min="4" max="4" width="31" hidden="0" customWidth="1"/>
    <x:col min="5" max="5" width="20" hidden="0" customWidth="1"/>
    <x:col min="6" max="6" width="80" hidden="0" customWidth="1"/>
    <x:col min="7" max="7" width="24" hidden="0" customWidth="1"/>
    <x:col min="8" max="8" width="70" hidden="0" customWidth="1"/>
    <x:col min="9" max="9" width="28" hidden="0" customWidth="1"/>
    <x:col min="10" max="10" width="19" hidden="0" customWidth="1"/>
    <x:col min="11" max="11" width="4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5" customHeight="1">
      <x:c r="A2" s="2" t="str">
        <x:v>Decisiones del equipo y Dirección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0" customHeight="1">
      <x:c r="A3" s="3" t="str">
        <x:v>El silencio no aprueba. Estado Resuelto requiere contenido, decisor, fecha y evidencia.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8" t="str">
        <x:v>ID</x:v>
      </x:c>
      <x:c r="B5" s="8" t="str">
        <x:v>Decisión requerida</x:v>
      </x:c>
      <x:c r="C5" s="8" t="str">
        <x:v>A</x:v>
      </x:c>
      <x:c r="D5" s="8" t="str">
        <x:v>Ventana propuesta</x:v>
      </x:c>
      <x:c r="E5" s="8" t="str">
        <x:v>Estado</x:v>
      </x:c>
      <x:c r="F5" s="8" t="str">
        <x:v>Criterio / contenido</x:v>
      </x:c>
      <x:c r="G5" s="8" t="str">
        <x:v>Fuentes</x:v>
      </x:c>
      <x:c r="H5" s="8" t="str">
        <x:v>Decisión registrada</x:v>
      </x:c>
      <x:c r="I5" s="8" t="str">
        <x:v>Nombre decisor</x:v>
      </x:c>
      <x:c r="J5" s="8" t="str">
        <x:v>Fecha decisión</x:v>
      </x:c>
      <x:c r="K5" s="8" t="str">
        <x:v>Evidencia</x:v>
      </x:c>
    </x:row>
    <x:row r="6" ht="35" customHeight="1">
      <x:c r="A6" s="11" t="str">
        <x:v>D01</x:v>
      </x:c>
      <x:c r="B6" s="11" t="str">
        <x:v>Detalle B1, GAPS y módulos que entran en paralelo el 04/11</x:v>
      </x:c>
      <x:c r="C6" s="11" t="str">
        <x:v>SP</x:v>
      </x:c>
      <x:c r="D6" s="11" t="str">
        <x:v>30/10 preparación; 02/11 decisión</x:v>
      </x:c>
      <x:c r="E6" s="13" t="str">
        <x:v>Sin decidir</x:v>
      </x:c>
      <x:c r="F6" s="13" t="str">
        <x:v>Listado final versionado y dueño de cada decisión</x:v>
      </x:c>
      <x:c r="G6" s="13" t="str">
        <x:v>S01; S04; S05; S06</x:v>
      </x:c>
      <x:c r="H6" s="13" t="str"/>
      <x:c r="I6" s="13" t="str"/>
      <x:c r="J6" s="14"/>
      <x:c r="K6" s="13" t="str"/>
    </x:row>
    <x:row r="7" ht="28" customHeight="1">
      <x:c r="A7" s="12" t="str">
        <x:v>D02</x:v>
      </x:c>
      <x:c r="B7" s="12" t="str">
        <x:v>Sponsor y líder DIARCO con facultades</x:v>
      </x:c>
      <x:c r="C7" s="12" t="str">
        <x:v>SP</x:v>
      </x:c>
      <x:c r="D7" s="12" t="str">
        <x:v>02/11</x:v>
      </x:c>
      <x:c r="E7" s="13" t="str">
        <x:v>Sin decidir</x:v>
      </x:c>
      <x:c r="F7" s="13" t="str">
        <x:v>Nombre, suplente y autoridad explícita</x:v>
      </x:c>
      <x:c r="G7" s="13" t="str">
        <x:v>S01; S09</x:v>
      </x:c>
      <x:c r="H7" s="13" t="str"/>
      <x:c r="I7" s="13" t="str"/>
      <x:c r="J7" s="14"/>
      <x:c r="K7" s="13" t="str"/>
    </x:row>
    <x:row r="8" ht="28" customHeight="1">
      <x:c r="A8" s="11" t="str">
        <x:v>D03</x:v>
      </x:c>
      <x:c r="B8" s="11" t="str">
        <x:v>Titulares, suplentes y horas por módulo</x:v>
      </x:c>
      <x:c r="C8" s="11" t="str">
        <x:v>SP</x:v>
      </x:c>
      <x:c r="D8" s="11" t="str">
        <x:v>02/11</x:v>
      </x:c>
      <x:c r="E8" s="13" t="str">
        <x:v>Sin decidir</x:v>
      </x:c>
      <x:c r="F8" s="13" t="str">
        <x:v>Persona y jefatura aceptan dedicación protegida</x:v>
      </x:c>
      <x:c r="G8" s="13" t="str">
        <x:v>S01; S09</x:v>
      </x:c>
      <x:c r="H8" s="13" t="str"/>
      <x:c r="I8" s="13" t="str"/>
      <x:c r="J8" s="14"/>
      <x:c r="K8" s="13" t="str"/>
    </x:row>
    <x:row r="9" ht="28" customHeight="1">
      <x:c r="A9" s="12" t="str">
        <x:v>D04</x:v>
      </x:c>
      <x:c r="B9" s="12" t="str">
        <x:v>Mesa de ayuda e IT con cobertura</x:v>
      </x:c>
      <x:c r="C9" s="12" t="str">
        <x:v>SP</x:v>
      </x:c>
      <x:c r="D9" s="12" t="str">
        <x:v>Semana 1</x:v>
      </x:c>
      <x:c r="E9" s="13" t="str">
        <x:v>Sin decidir</x:v>
      </x:c>
      <x:c r="F9" s="13" t="str">
        <x:v>Líderes, guardia por ventana y canal común</x:v>
      </x:c>
      <x:c r="G9" s="13" t="str">
        <x:v>S01; S09</x:v>
      </x:c>
      <x:c r="H9" s="13" t="str"/>
      <x:c r="I9" s="13" t="str"/>
      <x:c r="J9" s="14"/>
      <x:c r="K9" s="13" t="str"/>
    </x:row>
    <x:row r="10" ht="28" customHeight="1">
      <x:c r="A10" s="11" t="str">
        <x:v>D05</x:v>
      </x:c>
      <x:c r="B10" s="11" t="str">
        <x:v>Población, ciclos y duración del paralelo desde 04/11</x:v>
      </x:c>
      <x:c r="C10" s="11" t="str">
        <x:v>SP</x:v>
      </x:c>
      <x:c r="D10" s="11" t="str">
        <x:v>Antes del 04/11</x:v>
      </x:c>
      <x:c r="E10" s="13" t="str">
        <x:v>Sin decidir</x:v>
      </x:c>
      <x:c r="F10" s="13" t="str">
        <x:v>Módulos, sitios, usuarios, proveedores, ciclos y exclusiones</x:v>
      </x:c>
      <x:c r="G10" s="13" t="str">
        <x:v>S09</x:v>
      </x:c>
      <x:c r="H10" s="13" t="str"/>
      <x:c r="I10" s="13" t="str"/>
      <x:c r="J10" s="14"/>
      <x:c r="K10" s="13" t="str"/>
    </x:row>
    <x:row r="11" ht="35" customHeight="1">
      <x:c r="A11" s="12" t="str">
        <x:v>D06</x:v>
      </x:c>
      <x:c r="B11" s="12" t="str">
        <x:v>Control de paralelo: autoridad DIARCO/SGM y emisor único</x:v>
      </x:c>
      <x:c r="C11" s="12" t="str">
        <x:v>DP</x:v>
      </x:c>
      <x:c r="D11" s="12" t="str">
        <x:v>Antes de UAT</x:v>
      </x:c>
      <x:c r="E11" s="13" t="str">
        <x:v>Sin decidir</x:v>
      </x:c>
      <x:c r="F11" s="13" t="str">
        <x:v>SGM conserva validez. Definir cómo comparar/reconciliar sin doble efecto ni envío al proveedor.</x:v>
      </x:c>
      <x:c r="G11" s="13" t="str">
        <x:v>S05; S09</x:v>
      </x:c>
      <x:c r="H11" s="13" t="str"/>
      <x:c r="I11" s="13" t="str"/>
      <x:c r="J11" s="14"/>
      <x:c r="K11" s="13" t="str"/>
    </x:row>
    <x:row r="12" ht="35" customHeight="1">
      <x:c r="A12" s="11" t="str">
        <x:v>D07</x:v>
      </x:c>
      <x:c r="B12" s="11" t="str">
        <x:v>Reglas pendientes de compra y OC madre</x:v>
      </x:c>
      <x:c r="C12" s="11" t="str">
        <x:v>DP</x:v>
      </x:c>
      <x:c r="D12" s="11" t="str">
        <x:v>Antes del caso asociado</x:v>
      </x:c>
      <x:c r="E12" s="13" t="str">
        <x:v>Sin decidir</x:v>
      </x:c>
      <x:c r="F12" s="13" t="str">
        <x:v>Aprobación única documentada. Confirmar umbral automático, vigencia y cierre de OC madre/abierta según S16/S17.</x:v>
      </x:c>
      <x:c r="G12" s="13" t="str">
        <x:v>S06</x:v>
      </x:c>
      <x:c r="H12" s="13" t="str"/>
      <x:c r="I12" s="13" t="str"/>
      <x:c r="J12" s="14"/>
      <x:c r="K12" s="13" t="str"/>
    </x:row>
    <x:row r="13" ht="28" customHeight="1">
      <x:c r="A13" s="12" t="str">
        <x:v>D08</x:v>
      </x:c>
      <x:c r="B13" s="12" t="str">
        <x:v>Cadencia, escalación y gates</x:v>
      </x:c>
      <x:c r="C13" s="12" t="str">
        <x:v>SP</x:v>
      </x:c>
      <x:c r="D13" s="12" t="str">
        <x:v>02/11</x:v>
      </x:c>
      <x:c r="E13" s="13" t="str">
        <x:v>Sin decidir</x:v>
      </x:c>
      <x:c r="F13" s="13" t="str">
        <x:v>Plazos de decisión, evidencia y responsables de go/no-go</x:v>
      </x:c>
      <x:c r="G13" s="13" t="str">
        <x:v>S09</x:v>
      </x:c>
      <x:c r="H13" s="13" t="str"/>
      <x:c r="I13" s="13" t="str"/>
      <x:c r="J13" s="14"/>
      <x:c r="K13" s="13" t="str"/>
    </x:row>
    <x:row r="14" ht="28" customHeight="1">
      <x:c r="A14" s="11" t="str">
        <x:v>D09</x:v>
      </x:c>
      <x:c r="B14" s="11" t="str">
        <x:v>Horario y objetivos soporte L1/L2</x:v>
      </x:c>
      <x:c r="C14" s="11" t="str">
        <x:v>SP</x:v>
      </x:c>
      <x:c r="D14" s="11" t="str">
        <x:v>Antes del piloto</x:v>
      </x:c>
      <x:c r="E14" s="13" t="str">
        <x:v>Sin decidir</x:v>
      </x:c>
      <x:c r="F14" s="13" t="str">
        <x:v>Acuerdo DIARCO/Zeetrex, sin presumir servicio 24x7</x:v>
      </x:c>
      <x:c r="G14" s="13" t="str">
        <x:v>S09</x:v>
      </x:c>
      <x:c r="H14" s="13" t="str"/>
      <x:c r="I14" s="13" t="str"/>
      <x:c r="J14" s="14"/>
      <x:c r="K14" s="13" t="str"/>
    </x:row>
    <x:row r="15" ht="35" customHeight="1">
      <x:c r="A15" s="12" t="str">
        <x:v>D10</x:v>
      </x:c>
      <x:c r="B15" s="12" t="str">
        <x:v>Criterio de aceptación OC valorizada y tolerancias</x:v>
      </x:c>
      <x:c r="C15" s="12" t="str">
        <x:v>DP</x:v>
      </x:c>
      <x:c r="D15" s="12" t="str">
        <x:v>Antes del 04/11</x:v>
      </x:c>
      <x:c r="E15" s="13" t="str">
        <x:v>Sin decidir</x:v>
      </x:c>
      <x:c r="F15" s="13" t="str">
        <x:v>Comparar campos y cálculo esperado independiente. Tolerancias aprobadas antes de ejecutar.</x:v>
      </x:c>
      <x:c r="G15" s="13" t="str">
        <x:v>S13; S09</x:v>
      </x:c>
      <x:c r="H15" s="13" t="str"/>
      <x:c r="I15" s="13" t="str"/>
      <x:c r="J15" s="14"/>
      <x:c r="K15" s="13" t="str"/>
    </x:row>
    <x:row r="16" ht="35" customHeight="1">
      <x:c r="A16" s="11" t="str">
        <x:v>D11</x:v>
      </x:c>
      <x:c r="B16" s="11" t="str">
        <x:v>Evidencia de recuperación y calidad de stock</x:v>
      </x:c>
      <x:c r="C16" s="11" t="str">
        <x:v>IT</x:v>
      </x:c>
      <x:c r="D16" s="11" t="str">
        <x:v>Antes del paralelo afectado</x:v>
      </x:c>
      <x:c r="E16" s="13" t="str">
        <x:v>Sin decidir</x:v>
      </x:c>
      <x:c r="F16" s="13" t="str">
        <x:v>Obtener resultado de compromisos 26–27/10, pruebas tienda escuela y base conciliada.</x:v>
      </x:c>
      <x:c r="G16" s="13" t="str">
        <x:v>S19; S20; S27</x:v>
      </x:c>
      <x:c r="H16" s="13" t="str"/>
      <x:c r="I16" s="13" t="str"/>
      <x:c r="J16" s="14"/>
      <x:c r="K16" s="13" t="str"/>
    </x:row>
    <x:row r="17" ht="35" customHeight="1">
      <x:c r="A17" s="12" t="str">
        <x:v>D12</x:v>
      </x:c>
      <x:c r="B17" s="12" t="str">
        <x:v>Secuencia de primeras sucursales, equipos y acompañamiento</x:v>
      </x:c>
      <x:c r="C17" s="12" t="str">
        <x:v>LD</x:v>
      </x:c>
      <x:c r="D17" s="12" t="str">
        <x:v>Antes de oleadas PDA</x:v>
      </x:c>
      <x:c r="E17" s="13" t="str">
        <x:v>Sin decidir</x:v>
      </x:c>
      <x:c r="F17" s="13" t="str">
        <x:v>Lista inicial, condición Wi-Fi/PDA por sitio, referentes y cobertura. Sin deducir 43 sucursales listas.</x:v>
      </x:c>
      <x:c r="G17" s="13" t="str">
        <x:v>S19</x:v>
      </x:c>
      <x:c r="H17" s="13" t="str"/>
      <x:c r="I17" s="13" t="str"/>
      <x:c r="J17" s="14"/>
      <x:c r="K17" s="13" t="str"/>
    </x:row>
    <x:row r="18" ht="35" customHeight="1">
      <x:c r="A18" s="11" t="str">
        <x:v>D13</x:v>
      </x:c>
      <x:c r="B18" s="11" t="str">
        <x:v>Frontera QX/reposición automática y complejidad de reglas</x:v>
      </x:c>
      <x:c r="C18" s="11" t="str">
        <x:v>DP</x:v>
      </x:c>
      <x:c r="D18" s="11" t="str">
        <x:v>Antes de confirmar capacidad B1</x:v>
      </x:c>
      <x:c r="E18" s="13" t="str">
        <x:v>Sin decidir</x:v>
      </x:c>
      <x:c r="F18" s="13" t="str">
        <x:v>Conservar sugerido B1. No migrar QX/reposición automática ni acuerdos avanzados por inferencia.</x:v>
      </x:c>
      <x:c r="G18" s="13" t="str">
        <x:v>S23; S26</x:v>
      </x:c>
      <x:c r="H18" s="13" t="str"/>
      <x:c r="I18" s="13" t="str"/>
      <x:c r="J18" s="14"/>
      <x:c r="K18" s="13" t="str"/>
    </x:row>
  </x:sheetData>
  <x:dataValidations count="1">
    <x:dataValidation type="list" sqref="E6:E18">
      <x:formula1>"Sin decidir,En análisis,Resuelto"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1670a4324d47a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95" hidden="0" customWidth="1"/>
    <x:col min="4" max="4" width="10" hidden="0" customWidth="1"/>
    <x:col min="5" max="5" width="50" hidden="0" customWidth="1"/>
    <x:col min="6" max="6" width="30" hidden="0" customWidth="1"/>
    <x:col min="7" max="7" width="20" hidden="0" customWidth="1"/>
    <x:col min="8" max="8" width="20" hidden="0" customWidth="1"/>
    <x:col min="9" max="9" width="28" hidden="0" customWidth="1"/>
    <x:col min="10" max="10" width="18" hidden="0" customWidth="1"/>
    <x:col min="11" max="11" width="6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5" customHeight="1">
      <x:c r="A2" s="2" t="str">
        <x:v>Autorización de avance por población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0" customHeight="1">
      <x:c r="A3" s="3" t="str">
        <x:v>Duplicar gate por módulo/oleada. Validar umbrales. Smoke se exige antes del paralelo y no reemplaza UAT.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8" t="str">
        <x:v>Gate</x:v>
      </x:c>
      <x:c r="B5" s="8" t="str">
        <x:v>Resultado</x:v>
      </x:c>
      <x:c r="C5" s="8" t="str">
        <x:v>Criterio propuesto</x:v>
      </x:c>
      <x:c r="D5" s="8" t="str">
        <x:v>A</x:v>
      </x:c>
      <x:c r="E5" s="8" t="str">
        <x:v>Evidencia requerida</x:v>
      </x:c>
      <x:c r="F5" s="8" t="str">
        <x:v>Módulo / oleada</x:v>
      </x:c>
      <x:c r="G5" s="8" t="str">
        <x:v>Versión</x:v>
      </x:c>
      <x:c r="H5" s="8" t="str">
        <x:v>Decisión</x:v>
      </x:c>
      <x:c r="I5" s="8" t="str">
        <x:v>Nombre decisor</x:v>
      </x:c>
      <x:c r="J5" s="8" t="str">
        <x:v>Fecha</x:v>
      </x:c>
      <x:c r="K5" s="8" t="str">
        <x:v>Enlace / reservas</x:v>
      </x:c>
    </x:row>
    <x:row r="6" ht="28" customHeight="1">
      <x:c r="A6" s="11" t="str">
        <x:v>G0</x:v>
      </x:c>
      <x:c r="B6" s="11" t="str">
        <x:v>Inicio comprometido</x:v>
      </x:c>
      <x:c r="C6" s="11" t="str">
        <x:v>Alcance B1, roles nominales, tiempo autorizado, piloto y soporte asignados.</x:v>
      </x:c>
      <x:c r="D6" s="11" t="str">
        <x:v>SP</x:v>
      </x:c>
      <x:c r="E6" s="11" t="str">
        <x:v>Acta inicial y decisiones D01 a D05/D08</x:v>
      </x:c>
      <x:c r="F6" s="13" t="str"/>
      <x:c r="G6" s="13" t="str"/>
      <x:c r="H6" s="13" t="str">
        <x:v>Pendiente</x:v>
      </x:c>
      <x:c r="I6" s="13" t="str"/>
      <x:c r="J6" s="14"/>
      <x:c r="K6" s="13" t="str"/>
    </x:row>
    <x:row r="7" ht="35" customHeight="1">
      <x:c r="A7" s="12" t="str">
        <x:v>G1</x:v>
      </x:c>
      <x:c r="B7" s="12" t="str">
        <x:v>Preparación y UAT</x:v>
      </x:c>
      <x:c r="C7" s="12" t="str">
        <x:v>Datos y permisos certificados. 100% casos críticos pasan. Sin defectos críticos/altos abiertos en el circuito.</x:v>
      </x:c>
      <x:c r="D7" s="12" t="str">
        <x:v>DP</x:v>
      </x:c>
      <x:c r="E7" s="12" t="str">
        <x:v>UAT, casos dorados y ficha de referente</x:v>
      </x:c>
      <x:c r="F7" s="13" t="str"/>
      <x:c r="G7" s="13" t="str"/>
      <x:c r="H7" s="13" t="str">
        <x:v>Pendiente</x:v>
      </x:c>
      <x:c r="I7" s="13" t="str"/>
      <x:c r="J7" s="14"/>
      <x:c r="K7" s="13" t="str"/>
    </x:row>
    <x:row r="8" ht="35" customHeight="1">
      <x:c r="A8" s="11" t="str">
        <x:v>G2</x:v>
      </x:c>
      <x:c r="B8" s="11" t="str">
        <x:v>Piloto aceptado</x:v>
      </x:c>
      <x:c r="C8" s="11" t="str">
        <x:v>Dos ciclos completos propuestos, uno con excepción. Conciliación sin diferencias críticas. Contingencia y soporte ensayados.</x:v>
      </x:c>
      <x:c r="D8" s="11" t="str">
        <x:v>SP</x:v>
      </x:c>
      <x:c r="E8" s="11" t="str">
        <x:v>Informe piloto y actas de dueños</x:v>
      </x:c>
      <x:c r="F8" s="13" t="str"/>
      <x:c r="G8" s="13" t="str"/>
      <x:c r="H8" s="13" t="str">
        <x:v>Pendiente</x:v>
      </x:c>
      <x:c r="I8" s="13" t="str"/>
      <x:c r="J8" s="14"/>
      <x:c r="K8" s="13" t="str"/>
    </x:row>
    <x:row r="9" ht="35" customHeight="1">
      <x:c r="A9" s="12" t="str">
        <x:v>G3</x:v>
      </x:c>
      <x:c r="B9" s="12" t="str">
        <x:v>Oleada autorizada</x:v>
      </x:c>
      <x:c r="C9" s="12" t="str">
        <x:v>Usuarios preparados, soporte cubierto, corte/retorno validado por IT y recomendación conjunta.</x:v>
      </x:c>
      <x:c r="D9" s="12" t="str">
        <x:v>SP</x:v>
      </x:c>
      <x:c r="E9" s="12" t="str">
        <x:v>Acta go/no-go y bitácora</x:v>
      </x:c>
      <x:c r="F9" s="13" t="str"/>
      <x:c r="G9" s="13" t="str"/>
      <x:c r="H9" s="13" t="str">
        <x:v>Pendiente</x:v>
      </x:c>
      <x:c r="I9" s="13" t="str"/>
      <x:c r="J9" s="14"/>
      <x:c r="K9" s="13" t="str"/>
    </x:row>
    <x:row r="10" ht="35" customHeight="1">
      <x:c r="A10" s="11" t="str">
        <x:v>G4</x:v>
      </x:c>
      <x:c r="B10" s="11" t="str">
        <x:v>Operación transferida</x:v>
      </x:c>
      <x:c r="C10" s="11" t="str">
        <x:v>Cinco días operativos estables propuestos. L1/titular/suplente demuestran autonomía y pendientes asignados.</x:v>
      </x:c>
      <x:c r="D10" s="11" t="str">
        <x:v>SP</x:v>
      </x:c>
      <x:c r="E10" s="11" t="str">
        <x:v>Acta de transferencia y métricas</x:v>
      </x:c>
      <x:c r="F10" s="13" t="str"/>
      <x:c r="G10" s="13" t="str"/>
      <x:c r="H10" s="13" t="str">
        <x:v>Pendiente</x:v>
      </x:c>
      <x:c r="I10" s="13" t="str"/>
      <x:c r="J10" s="14"/>
      <x:c r="K10" s="13" t="str"/>
    </x:row>
  </x:sheetData>
  <x:dataValidations count="1">
    <x:dataValidation type="list" sqref="H6:H10">
      <x:formula1>"Pendiente,Go,No-go"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8c0e7c19fc4fa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57" hidden="0" customWidth="1"/>
    <x:col min="3" max="3" width="14" hidden="0" customWidth="1"/>
    <x:col min="4" max="4" width="14" hidden="0" customWidth="1"/>
    <x:col min="5" max="5" width="65" hidden="0" customWidth="1"/>
    <x:col min="6" max="6" width="85" hidden="0" customWidth="1"/>
    <x:col min="7" max="7" width="20" hidden="0" customWidth="1"/>
    <x:col min="8" max="8" width="28" hidden="0" customWidth="1"/>
    <x:col min="9" max="9" width="18" hidden="0" customWidth="1"/>
    <x:col min="10" max="10" width="20" hidden="0" customWidth="1"/>
    <x:col min="11" max="11" width="4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5" customHeight="1">
      <x:c r="A2" s="2" t="str">
        <x:v>Riesgos y acciones de mitigación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0" customHeight="1">
      <x:c r="A3" s="3" t="str">
        <x:v>Revisar cada semana y antes de abrir paralelo/oleada.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8" t="str">
        <x:v>ID</x:v>
      </x:c>
      <x:c r="B5" s="8" t="str">
        <x:v>Riesgo</x:v>
      </x:c>
      <x:c r="C5" s="8" t="str">
        <x:v>Dueño rol</x:v>
      </x:c>
      <x:c r="D5" s="8" t="str">
        <x:v>Impacto</x:v>
      </x:c>
      <x:c r="E5" s="8" t="str">
        <x:v>Señal / disparador</x:v>
      </x:c>
      <x:c r="F5" s="8" t="str">
        <x:v>Respuesta propuesta</x:v>
      </x:c>
      <x:c r="G5" s="8" t="str">
        <x:v>Decisión vinculada</x:v>
      </x:c>
      <x:c r="H5" s="8" t="str">
        <x:v>Dueño nominal</x:v>
      </x:c>
      <x:c r="I5" s="8" t="str">
        <x:v>Fecha acción</x:v>
      </x:c>
      <x:c r="J5" s="8" t="str">
        <x:v>Estado</x:v>
      </x:c>
      <x:c r="K5" s="8" t="str">
        <x:v>Evidencia</x:v>
      </x:c>
    </x:row>
    <x:row r="6" ht="28" customHeight="1">
      <x:c r="A6" s="11" t="str">
        <x:v>R01</x:v>
      </x:c>
      <x:c r="B6" s="11" t="str">
        <x:v>Personas sin tiempo protegido</x:v>
      </x:c>
      <x:c r="C6" s="11" t="str">
        <x:v>SP</x:v>
      </x:c>
      <x:c r="D6" s="11" t="str">
        <x:v>Alta</x:v>
      </x:c>
      <x:c r="E6" s="11" t="str">
        <x:v>No se ejecutan pruebas en las ventanas pactadas</x:v>
      </x:c>
      <x:c r="F6" s="11" t="str">
        <x:v>Asignar horas y suplentes. Reducir módulos concurrentes si falta capacidad.</x:v>
      </x:c>
      <x:c r="G6" s="11" t="str">
        <x:v>D03</x:v>
      </x:c>
      <x:c r="H6" s="13" t="str"/>
      <x:c r="I6" s="14"/>
      <x:c r="J6" s="13" t="str">
        <x:v>Abierto</x:v>
      </x:c>
      <x:c r="K6" s="13" t="str"/>
    </x:row>
    <x:row r="7" ht="28" customHeight="1">
      <x:c r="A7" s="12" t="str">
        <x:v>R02</x:v>
      </x:c>
      <x:c r="B7" s="12" t="str">
        <x:v>Alcance no conciliado entre septiembre y octubre</x:v>
      </x:c>
      <x:c r="C7" s="12" t="str">
        <x:v>LZ</x:v>
      </x:c>
      <x:c r="D7" s="12" t="str">
        <x:v>Alta</x:v>
      </x:c>
      <x:c r="E7" s="12" t="str">
        <x:v>Se usa un pedido como compromiso confirmado</x:v>
      </x:c>
      <x:c r="F7" s="12" t="str">
        <x:v>Cerrar D01 y registrar cualquier cambio con impacto.</x:v>
      </x:c>
      <x:c r="G7" s="12" t="str">
        <x:v>D01</x:v>
      </x:c>
      <x:c r="H7" s="13" t="str"/>
      <x:c r="I7" s="14"/>
      <x:c r="J7" s="13" t="str">
        <x:v>Abierto</x:v>
      </x:c>
      <x:c r="K7" s="13" t="str"/>
    </x:row>
    <x:row r="8" ht="28" customHeight="1">
      <x:c r="A8" s="11" t="str">
        <x:v>R03</x:v>
      </x:c>
      <x:c r="B8" s="11" t="str">
        <x:v>Doble carga o doble envío durante convivencia SGM</x:v>
      </x:c>
      <x:c r="C8" s="11" t="str">
        <x:v>IT</x:v>
      </x:c>
      <x:c r="D8" s="11" t="str">
        <x:v>Alta</x:v>
      </x:c>
      <x:c r="E8" s="11" t="str">
        <x:v>Dos sistemas modifican la misma entidad o comunican una OC</x:v>
      </x:c>
      <x:c r="F8" s="11" t="str">
        <x:v>Matriz de maestría, emisor único, reintento y conciliación.</x:v>
      </x:c>
      <x:c r="G8" s="11" t="str">
        <x:v>D06</x:v>
      </x:c>
      <x:c r="H8" s="13" t="str"/>
      <x:c r="I8" s="14"/>
      <x:c r="J8" s="13" t="str">
        <x:v>Abierto</x:v>
      </x:c>
      <x:c r="K8" s="13" t="str"/>
    </x:row>
    <x:row r="9" ht="28" customHeight="1">
      <x:c r="A9" s="12" t="str">
        <x:v>R04</x:v>
      </x:c>
      <x:c r="B9" s="12" t="str">
        <x:v>IT o mesa de ayuda ausentes hasta el corte</x:v>
      </x:c>
      <x:c r="C9" s="12" t="str">
        <x:v>LD</x:v>
      </x:c>
      <x:c r="D9" s="12" t="str">
        <x:v>Alta</x:v>
      </x:c>
      <x:c r="E9" s="12" t="str">
        <x:v>No hay canal, suplente o runbook probado</x:v>
      </x:c>
      <x:c r="F9" s="12" t="str">
        <x:v>Incluirlos desde G0 y exigir simulacro antes del piloto.</x:v>
      </x:c>
      <x:c r="G9" s="12" t="str">
        <x:v>D04</x:v>
      </x:c>
      <x:c r="H9" s="13" t="str"/>
      <x:c r="I9" s="14"/>
      <x:c r="J9" s="13" t="str">
        <x:v>Abierto</x:v>
      </x:c>
      <x:c r="K9" s="13" t="str"/>
    </x:row>
    <x:row r="10" ht="28" customHeight="1">
      <x:c r="A10" s="11" t="str">
        <x:v>R05</x:v>
      </x:c>
      <x:c r="B10" s="11" t="str">
        <x:v>Aceptación basada en demo/asistencia</x:v>
      </x:c>
      <x:c r="C10" s="11" t="str">
        <x:v>DP</x:v>
      </x:c>
      <x:c r="D10" s="11" t="str">
        <x:v>Alta</x:v>
      </x:c>
      <x:c r="E10" s="11" t="str">
        <x:v>Casos sin esperado, ejecutor o evidencia</x:v>
      </x:c>
      <x:c r="F10" s="11" t="str">
        <x:v>UAT independiente y práctica individual. Cerrar con firma del dueño.</x:v>
      </x:c>
      <x:c r="G10" s="11" t="str">
        <x:v>D05</x:v>
      </x:c>
      <x:c r="H10" s="13" t="str"/>
      <x:c r="I10" s="14"/>
      <x:c r="J10" s="13" t="str">
        <x:v>Abierto</x:v>
      </x:c>
      <x:c r="K10" s="13" t="str"/>
    </x:row>
    <x:row r="11" ht="35" customHeight="1">
      <x:c r="A11" s="12" t="str">
        <x:v>R06</x:v>
      </x:c>
      <x:c r="B11" s="12" t="str">
        <x:v>Proveedor externo bloquea el circuito</x:v>
      </x:c>
      <x:c r="C11" s="12" t="str">
        <x:v>LZ</x:v>
      </x:c>
      <x:c r="D11" s="12" t="str">
        <x:v>Alta</x:v>
      </x:c>
      <x:c r="E11" s="12" t="str">
        <x:v>Interfaz/acuse no disponible en prueba</x:v>
      </x:c>
      <x:c r="F11" s="12" t="str">
        <x:v>Nombrar responsable externo, pactar contrato y alternativa explícita o recortar oleada.</x:v>
      </x:c>
      <x:c r="G11" s="12" t="str">
        <x:v>D05</x:v>
      </x:c>
      <x:c r="H11" s="13" t="str"/>
      <x:c r="I11" s="14"/>
      <x:c r="J11" s="13" t="str">
        <x:v>Abierto</x:v>
      </x:c>
      <x:c r="K11" s="13" t="str"/>
    </x:row>
    <x:row r="12" ht="35" customHeight="1">
      <x:c r="A12" s="11" t="str">
        <x:v>R07</x:v>
      </x:c>
      <x:c r="B12" s="11" t="str">
        <x:v>Datos o parámetros incompletos</x:v>
      </x:c>
      <x:c r="C12" s="11" t="str">
        <x:v>DP</x:v>
      </x:c>
      <x:c r="D12" s="11" t="str">
        <x:v>Alta</x:v>
      </x:c>
      <x:c r="E12" s="11" t="str">
        <x:v>Cálculo no explicable o exclusiones no revisadas</x:v>
      </x:c>
      <x:c r="F12" s="11" t="str">
        <x:v>Certificar datos y remediar con dueño. Revalidar cobertura Inventory cuando aplique.</x:v>
      </x:c>
      <x:c r="G12" s="11" t="str">
        <x:v>D01</x:v>
      </x:c>
      <x:c r="H12" s="13" t="str"/>
      <x:c r="I12" s="14"/>
      <x:c r="J12" s="13" t="str">
        <x:v>Abierto</x:v>
      </x:c>
      <x:c r="K12" s="13" t="str"/>
    </x:row>
    <x:row r="13" ht="35" customHeight="1">
      <x:c r="A13" s="12" t="str">
        <x:v>R08</x:v>
      </x:c>
      <x:c r="B13" s="12" t="str">
        <x:v>Fechas históricas interpretadas como compromiso vigente</x:v>
      </x:c>
      <x:c r="C13" s="12" t="str">
        <x:v>SP</x:v>
      </x:c>
      <x:c r="D13" s="12" t="str">
        <x:v>Alta</x:v>
      </x:c>
      <x:c r="E13" s="12" t="str">
        <x:v>Se exige corte SGM por fecha sin gates</x:v>
      </x:c>
      <x:c r="F13" s="12" t="str">
        <x:v>Rebaselinar por evidencia y capacidad. No apagar por calendario.</x:v>
      </x:c>
      <x:c r="G13" s="12" t="str">
        <x:v>D06</x:v>
      </x:c>
      <x:c r="H13" s="13" t="str"/>
      <x:c r="I13" s="14"/>
      <x:c r="J13" s="13" t="str">
        <x:v>Abierto</x:v>
      </x:c>
      <x:c r="K13" s="13" t="str"/>
    </x:row>
    <x:row r="14" ht="28" customHeight="1">
      <x:c r="A14" s="11" t="str">
        <x:v>R09</x:v>
      </x:c>
      <x:c r="B14" s="11" t="str">
        <x:v>Capacitación no llega al resto de usuarios</x:v>
      </x:c>
      <x:c r="C14" s="11" t="str">
        <x:v>DP</x:v>
      </x:c>
      <x:c r="D14" s="11" t="str">
        <x:v>Media</x:v>
      </x:c>
      <x:c r="E14" s="11" t="str">
        <x:v>Sólo referente puede operar</x:v>
      </x:c>
      <x:c r="F14" s="11" t="str">
        <x:v>Formación en cascada, evaluación por rol y suplente probado.</x:v>
      </x:c>
      <x:c r="G14" s="11" t="str">
        <x:v>D03</x:v>
      </x:c>
      <x:c r="H14" s="13" t="str"/>
      <x:c r="I14" s="14"/>
      <x:c r="J14" s="13" t="str">
        <x:v>Abierto</x:v>
      </x:c>
      <x:c r="K14" s="13" t="str"/>
    </x:row>
    <x:row r="15" ht="35" customHeight="1">
      <x:c r="A15" s="12" t="str">
        <x:v>R10</x:v>
      </x:c>
      <x:c r="B15" s="12" t="str">
        <x:v>Confundir paralelo productivo con nueva autoridad</x:v>
      </x:c>
      <x:c r="C15" s="12" t="str">
        <x:v>IT</x:v>
      </x:c>
      <x:c r="D15" s="12" t="str">
        <x:v>Alta</x:v>
      </x:c>
      <x:c r="E15" s="12" t="str">
        <x:v>Se cambia stock/pendiente o se duplica emisión al proveedor durante comparación</x:v>
      </x:c>
      <x:c r="F15" s="12" t="str">
        <x:v>SGM válido. Identificación cruzada, emisor único y pruebas de no duplicación.</x:v>
      </x:c>
      <x:c r="G15" s="12" t="str">
        <x:v>D06</x:v>
      </x:c>
      <x:c r="H15" s="13" t="str"/>
      <x:c r="I15" s="14"/>
      <x:c r="J15" s="13" t="str">
        <x:v>Abierto</x:v>
      </x:c>
      <x:c r="K15" s="13" t="str"/>
    </x:row>
    <x:row r="16" ht="35" customHeight="1">
      <x:c r="A16" s="11" t="str">
        <x:v>R11</x:v>
      </x:c>
      <x:c r="B16" s="11" t="str">
        <x:v>Stock oficial con movimientos aún no incorporados</x:v>
      </x:c>
      <x:c r="C16" s="11" t="str">
        <x:v>DP</x:v>
      </x:c>
      <x:c r="D16" s="11" t="str">
        <x:v>Alta</x:v>
      </x:c>
      <x:c r="E16" s="11" t="str">
        <x:v>Diferencia de inventario se atribuye a merma sin conciliar registros</x:v>
      </x:c>
      <x:c r="F16" s="11" t="str">
        <x:v>Separar autoridad SGM de calidad de saldo. Certificar foto inicial y movimientos antes de concluir.</x:v>
      </x:c>
      <x:c r="G16" s="11" t="str">
        <x:v>D11</x:v>
      </x:c>
      <x:c r="H16" s="13" t="str"/>
      <x:c r="I16" s="14"/>
      <x:c r="J16" s="13" t="str">
        <x:v>Abierto</x:v>
      </x:c>
      <x:c r="K16" s="13" t="str"/>
    </x:row>
  </x:sheetData>
  <x:dataValidations count="1">
    <x:dataValidation type="list" sqref="J6:J16">
      <x:formula1>"Abierto,En tratamiento,Cerrado"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1dc5dd300a4024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43" hidden="0" customWidth="1"/>
    <x:col min="3" max="3" width="22" hidden="0" customWidth="1"/>
    <x:col min="4" max="4" width="80" hidden="0" customWidth="1"/>
    <x:col min="5" max="5" width="19" hidden="0" customWidth="1"/>
    <x:col min="6" max="6" width="19" hidden="0" customWidth="1"/>
    <x:col min="7" max="7" width="22" hidden="0" customWidth="1"/>
    <x:col min="8" max="8" width="22" hidden="0" customWidth="1"/>
    <x:col min="9" max="9" width="22" hidden="0" customWidth="1"/>
    <x:col min="10" max="10" width="6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5" customHeight="1">
      <x:c r="A2" s="2" t="str">
        <x:v>Reserva inicial de agenda por rol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0" customHeight="1">
      <x:c r="A3" s="3" t="str">
        <x:v>Rangos propuestos, confianza baja. No incluyen operación habitual, guardia ni desplazamiento. No suman personas con roles duplicados.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40" customHeight="1">
      <x:c r="A5" s="8" t="str">
        <x:v>Código</x:v>
      </x:c>
      <x:c r="B5" s="8" t="str">
        <x:v>Rol</x:v>
      </x:c>
      <x:c r="C5" s="8" t="str">
        <x:v>Organización</x:v>
      </x:c>
      <x:c r="D5" s="8" t="str">
        <x:v>Resultado del rol</x:v>
      </x:c>
      <x:c r="E5" s="8" t="str">
        <x:v>h/sem mínimo</x:v>
      </x:c>
      <x:c r="F5" s="8" t="str">
        <x:v>h/sem máximo</x:v>
      </x:c>
      <x:c r="G5" s="8" t="str">
        <x:v>Cantidad personas</x:v>
      </x:c>
      <x:c r="H5" s="8" t="str">
        <x:v>Reserva mínima h</x:v>
      </x:c>
      <x:c r="I5" s="8" t="str">
        <x:v>Reserva máxima h</x:v>
      </x:c>
      <x:c r="J5" s="8" t="str">
        <x:v>Nota</x:v>
      </x:c>
    </x:row>
    <x:row r="6" ht="35" customHeight="1">
      <x:c r="A6" s="11" t="str">
        <x:v>SP</x:v>
      </x:c>
      <x:c r="B6" s="11" t="str">
        <x:v>Sponsor DIARCO</x:v>
      </x:c>
      <x:c r="C6" s="11" t="str">
        <x:v>Dirección</x:v>
      </x:c>
      <x:c r="D6" s="11" t="str">
        <x:v>Priorizar, asignar capacidad, resolver escalaciones y decidir gates globales.</x:v>
      </x:c>
      <x:c r="E6" s="15" t="n">
        <x:v>1</x:v>
      </x:c>
      <x:c r="F6" s="15" t="n">
        <x:v>2</x:v>
      </x:c>
      <x:c r="G6" s="15"/>
      <x:c r="H6" s="18" t="str">
        <x:f>IF(OR(G6="",E6=""),"n.a.",G6*E6)</x:f>
        <x:v>n.a.</x:v>
      </x:c>
      <x:c r="I6" s="18" t="str">
        <x:f>IF(OR(G6="",F6=""),"n.a.",G6*F6)</x:f>
        <x:v>n.a.</x:v>
      </x:c>
      <x:c r="J6" s="11" t="str">
        <x:v>Propuesta no calibrada. Confirmar personas únicas y carga compartida.</x:v>
      </x:c>
    </x:row>
    <x:row r="7" ht="35" customHeight="1">
      <x:c r="A7" s="12" t="str">
        <x:v>LD</x:v>
      </x:c>
      <x:c r="B7" s="12" t="str">
        <x:v>Líder implementación DIARCO</x:v>
      </x:c>
      <x:c r="C7" s="12" t="str">
        <x:v>DIARCO</x:v>
      </x:c>
      <x:c r="D7" s="12" t="str">
        <x:v>Coordinar áreas, disponibilidad, evidencias y acciones internas.</x:v>
      </x:c>
      <x:c r="E7" s="15" t="n">
        <x:v>12</x:v>
      </x:c>
      <x:c r="F7" s="15" t="n">
        <x:v>20</x:v>
      </x:c>
      <x:c r="G7" s="15"/>
      <x:c r="H7" s="19" t="str">
        <x:f>IF(OR(G7="",E7=""),"n.a.",G7*E7)</x:f>
        <x:v>n.a.</x:v>
      </x:c>
      <x:c r="I7" s="19" t="str">
        <x:f>IF(OR(G7="",F7=""),"n.a.",G7*F7)</x:f>
        <x:v>n.a.</x:v>
      </x:c>
      <x:c r="J7" s="12" t="str">
        <x:v>Propuesta no calibrada. Confirmar personas únicas y carga compartida.</x:v>
      </x:c>
    </x:row>
    <x:row r="8" ht="35" customHeight="1">
      <x:c r="A8" s="11" t="str">
        <x:v>DP</x:v>
      </x:c>
      <x:c r="B8" s="11" t="str">
        <x:v>Dueño del proceso por módulo</x:v>
      </x:c>
      <x:c r="C8" s="11" t="str">
        <x:v>DIARCO</x:v>
      </x:c>
      <x:c r="D8" s="11" t="str">
        <x:v>Decidir reglas, aceptar UAT y asumir el proceso operativo.</x:v>
      </x:c>
      <x:c r="E8" s="15" t="n">
        <x:v>2</x:v>
      </x:c>
      <x:c r="F8" s="15" t="n">
        <x:v>4</x:v>
      </x:c>
      <x:c r="G8" s="15"/>
      <x:c r="H8" s="18" t="str">
        <x:f>IF(OR(G8="",E8=""),"n.a.",G8*E8)</x:f>
        <x:v>n.a.</x:v>
      </x:c>
      <x:c r="I8" s="18" t="str">
        <x:f>IF(OR(G8="",F8=""),"n.a.",G8*F8)</x:f>
        <x:v>n.a.</x:v>
      </x:c>
      <x:c r="J8" s="11" t="str">
        <x:v>Propuesta no calibrada. Confirmar personas únicas y carga compartida.</x:v>
      </x:c>
    </x:row>
    <x:row r="9" ht="35" customHeight="1">
      <x:c r="A9" s="12" t="str">
        <x:v>RF</x:v>
      </x:c>
      <x:c r="B9" s="12" t="str">
        <x:v>Referente titular por módulo</x:v>
      </x:c>
      <x:c r="C9" s="12" t="str">
        <x:v>DIARCO</x:v>
      </x:c>
      <x:c r="D9" s="12" t="str">
        <x:v>Preparar datos, probar, enseñar y resolver consultas funcionales L1.</x:v>
      </x:c>
      <x:c r="E9" s="15" t="n">
        <x:v>6</x:v>
      </x:c>
      <x:c r="F9" s="15" t="n">
        <x:v>10</x:v>
      </x:c>
      <x:c r="G9" s="15"/>
      <x:c r="H9" s="19" t="str">
        <x:f>IF(OR(G9="",E9=""),"n.a.",G9*E9)</x:f>
        <x:v>n.a.</x:v>
      </x:c>
      <x:c r="I9" s="19" t="str">
        <x:f>IF(OR(G9="",F9=""),"n.a.",G9*F9)</x:f>
        <x:v>n.a.</x:v>
      </x:c>
      <x:c r="J9" s="12" t="str">
        <x:v>Propuesta no calibrada. Confirmar personas únicas y carga compartida.</x:v>
      </x:c>
    </x:row>
    <x:row r="10" ht="35" customHeight="1">
      <x:c r="A10" s="11" t="str">
        <x:v>SU</x:v>
      </x:c>
      <x:c r="B10" s="11" t="str">
        <x:v>Suplente de referente por módulo</x:v>
      </x:c>
      <x:c r="C10" s="11" t="str">
        <x:v>DIARCO</x:v>
      </x:c>
      <x:c r="D10" s="11" t="str">
        <x:v>Practicar, sustituir al titular y demostrar autonomía.</x:v>
      </x:c>
      <x:c r="E10" s="15" t="n">
        <x:v>3</x:v>
      </x:c>
      <x:c r="F10" s="15" t="n">
        <x:v>5</x:v>
      </x:c>
      <x:c r="G10" s="15"/>
      <x:c r="H10" s="18" t="str">
        <x:f>IF(OR(G10="",E10=""),"n.a.",G10*E10)</x:f>
        <x:v>n.a.</x:v>
      </x:c>
      <x:c r="I10" s="18" t="str">
        <x:f>IF(OR(G10="",F10=""),"n.a.",G10*F10)</x:f>
        <x:v>n.a.</x:v>
      </x:c>
      <x:c r="J10" s="11" t="str">
        <x:v>Propuesta no calibrada. Confirmar personas únicas y carga compartida.</x:v>
      </x:c>
    </x:row>
    <x:row r="11" ht="35" customHeight="1">
      <x:c r="A11" s="12" t="str">
        <x:v>US</x:v>
      </x:c>
      <x:c r="B11" s="12" t="str">
        <x:v>Usuarios piloto por módulo</x:v>
      </x:c>
      <x:c r="C11" s="12" t="str">
        <x:v>DIARCO</x:v>
      </x:c>
      <x:c r="D11" s="12" t="str">
        <x:v>Ejecutar casos y operación real. Registrar dificultades y resultados.</x:v>
      </x:c>
      <x:c r="E11" s="15" t="n">
        <x:v>2</x:v>
      </x:c>
      <x:c r="F11" s="15" t="n">
        <x:v>4</x:v>
      </x:c>
      <x:c r="G11" s="15"/>
      <x:c r="H11" s="19" t="str">
        <x:f>IF(OR(G11="",E11=""),"n.a.",G11*E11)</x:f>
        <x:v>n.a.</x:v>
      </x:c>
      <x:c r="I11" s="19" t="str">
        <x:f>IF(OR(G11="",F11=""),"n.a.",G11*F11)</x:f>
        <x:v>n.a.</x:v>
      </x:c>
      <x:c r="J11" s="12" t="str">
        <x:v>Propuesta no calibrada. Confirmar personas únicas y carga compartida.</x:v>
      </x:c>
    </x:row>
    <x:row r="12" ht="35" customHeight="1">
      <x:c r="A12" s="11" t="str">
        <x:v>MD</x:v>
      </x:c>
      <x:c r="B12" s="11" t="str">
        <x:v>Líder mesa de ayuda</x:v>
      </x:c>
      <x:c r="C12" s="11" t="str">
        <x:v>DIARCO</x:v>
      </x:c>
      <x:c r="D12" s="11" t="str">
        <x:v>Registrar, clasificar, comunicar y seguir tickets hasta confirmar cierre.</x:v>
      </x:c>
      <x:c r="E12" s="15" t="n">
        <x:v>4</x:v>
      </x:c>
      <x:c r="F12" s="15" t="n">
        <x:v>8</x:v>
      </x:c>
      <x:c r="G12" s="15"/>
      <x:c r="H12" s="18" t="str">
        <x:f>IF(OR(G12="",E12=""),"n.a.",G12*E12)</x:f>
        <x:v>n.a.</x:v>
      </x:c>
      <x:c r="I12" s="18" t="str">
        <x:f>IF(OR(G12="",F12=""),"n.a.",G12*F12)</x:f>
        <x:v>n.a.</x:v>
      </x:c>
      <x:c r="J12" s="11" t="str">
        <x:v>Propuesta no calibrada. Confirmar personas únicas y carga compartida.</x:v>
      </x:c>
    </x:row>
    <x:row r="13" ht="35" customHeight="1">
      <x:c r="A13" s="12" t="str">
        <x:v>IT</x:v>
      </x:c>
      <x:c r="B13" s="12" t="str">
        <x:v>Líder IT DIARCO</x:v>
      </x:c>
      <x:c r="C13" s="12" t="str">
        <x:v>DIARCO</x:v>
      </x:c>
      <x:c r="D13" s="12" t="str">
        <x:v>Accesos, conectividad, operación técnica local y coordinación de incidentes.</x:v>
      </x:c>
      <x:c r="E13" s="15" t="n">
        <x:v>4</x:v>
      </x:c>
      <x:c r="F13" s="15" t="n">
        <x:v>8</x:v>
      </x:c>
      <x:c r="G13" s="15"/>
      <x:c r="H13" s="19" t="str">
        <x:f>IF(OR(G13="",E13=""),"n.a.",G13*E13)</x:f>
        <x:v>n.a.</x:v>
      </x:c>
      <x:c r="I13" s="19" t="str">
        <x:f>IF(OR(G13="",F13=""),"n.a.",G13*F13)</x:f>
        <x:v>n.a.</x:v>
      </x:c>
      <x:c r="J13" s="12" t="str">
        <x:v>Propuesta no calibrada. Confirmar personas únicas y carga compartida.</x:v>
      </x:c>
    </x:row>
    <x:row r="14" ht="35" customHeight="1">
      <x:c r="A14" s="11" t="str">
        <x:v>LZ</x:v>
      </x:c>
      <x:c r="B14" s="11" t="str">
        <x:v>Líder implementación Zeetrex</x:v>
      </x:c>
      <x:c r="C14" s="11" t="str">
        <x:v>Zeetrex</x:v>
      </x:c>
      <x:c r="D14" s="11" t="str">
        <x:v>Plan integrado, dependencias, riesgos y coordinación de entrega.</x:v>
      </x:c>
      <x:c r="E14" s="15" t="n">
        <x:v>12</x:v>
      </x:c>
      <x:c r="F14" s="15" t="n">
        <x:v>20</x:v>
      </x:c>
      <x:c r="G14" s="15"/>
      <x:c r="H14" s="18" t="str">
        <x:f>IF(OR(G14="",E14=""),"n.a.",G14*E14)</x:f>
        <x:v>n.a.</x:v>
      </x:c>
      <x:c r="I14" s="18" t="str">
        <x:f>IF(OR(G14="",F14=""),"n.a.",G14*F14)</x:f>
        <x:v>n.a.</x:v>
      </x:c>
      <x:c r="J14" s="11" t="str">
        <x:v>Propuesta no calibrada. Confirmar personas únicas y carga compartida.</x:v>
      </x:c>
    </x:row>
    <x:row r="15" ht="35" customHeight="1">
      <x:c r="A15" s="12" t="str">
        <x:v>ZF</x:v>
      </x:c>
      <x:c r="B15" s="12" t="str">
        <x:v>Consultor funcional Zeetrex</x:v>
      </x:c>
      <x:c r="C15" s="12" t="str">
        <x:v>Zeetrex</x:v>
      </x:c>
      <x:c r="D15" s="12" t="str">
        <x:v>Configurar, formar, asistir UAT y transferir conocimiento.</x:v>
      </x:c>
      <x:c r="E15" s="15" t="n">
        <x:v>8</x:v>
      </x:c>
      <x:c r="F15" s="15" t="n">
        <x:v>16</x:v>
      </x:c>
      <x:c r="G15" s="15"/>
      <x:c r="H15" s="19" t="str">
        <x:f>IF(OR(G15="",E15=""),"n.a.",G15*E15)</x:f>
        <x:v>n.a.</x:v>
      </x:c>
      <x:c r="I15" s="19" t="str">
        <x:f>IF(OR(G15="",F15=""),"n.a.",G15*F15)</x:f>
        <x:v>n.a.</x:v>
      </x:c>
      <x:c r="J15" s="12" t="str">
        <x:v>Propuesta no calibrada. Confirmar personas únicas y carga compartida.</x:v>
      </x:c>
    </x:row>
    <x:row r="16" ht="35" customHeight="1">
      <x:c r="A16" s="11" t="str">
        <x:v>ZT</x:v>
      </x:c>
      <x:c r="B16" s="11" t="str">
        <x:v>Líder técnico/soporte L2 Zeetrex</x:v>
      </x:c>
      <x:c r="C16" s="11" t="str">
        <x:v>Zeetrex</x:v>
      </x:c>
      <x:c r="D16" s="11" t="str">
        <x:v>Correcciones, integración, diagnóstico y escalamiento técnico.</x:v>
      </x:c>
      <x:c r="E16" s="15" t="n">
        <x:v>8</x:v>
      </x:c>
      <x:c r="F16" s="15" t="n">
        <x:v>16</x:v>
      </x:c>
      <x:c r="G16" s="15"/>
      <x:c r="H16" s="18" t="str">
        <x:f>IF(OR(G16="",E16=""),"n.a.",G16*E16)</x:f>
        <x:v>n.a.</x:v>
      </x:c>
      <x:c r="I16" s="18" t="str">
        <x:f>IF(OR(G16="",F16=""),"n.a.",G16*F16)</x:f>
        <x:v>n.a.</x:v>
      </x:c>
      <x:c r="J16" s="11" t="str">
        <x:v>Propuesta no calibrada. Confirmar personas únicas y carga compartida.</x:v>
      </x:c>
    </x:row>
    <x:row r="17" ht="35" customHeight="1">
      <x:c r="A17" s="12" t="str">
        <x:v>EXT</x:v>
      </x:c>
      <x:c r="B17" s="12" t="str">
        <x:v>Responsable de sistema tercero</x:v>
      </x:c>
      <x:c r="C17" s="12" t="str">
        <x:v>A designar</x:v>
      </x:c>
      <x:c r="D17" s="12" t="str">
        <x:v>Cumplir su interfaz y participar de pruebas/recuperación cuando aplique.</x:v>
      </x:c>
      <x:c r="E17" s="15"/>
      <x:c r="F17" s="15"/>
      <x:c r="G17" s="15"/>
      <x:c r="H17" s="19" t="str">
        <x:f>IF(OR(G17="",E17=""),"n.a.",G17*E17)</x:f>
        <x:v>n.a.</x:v>
      </x:c>
      <x:c r="I17" s="19" t="str">
        <x:f>IF(OR(G17="",F17=""),"n.a.",G17*F17)</x:f>
        <x:v>n.a.</x:v>
      </x:c>
      <x:c r="J17" s="12" t="str">
        <x:v>Propuesta no calibrada. Confirmar personas únicas y carga compartida.</x:v>
      </x:c>
    </x:row>
  </x:sheetData>
  <x:pageMargins left="0.7" right="0.7" top="0.75" bottom="0.75" header="0.3" footer="0.3"/>
  <x:tableParts count="1">
    <x:tablePart xmlns:r="http://schemas.openxmlformats.org/officeDocument/2006/relationships" r:id="R7d244853f5b94173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29" hidden="0" customWidth="1"/>
    <x:col min="3" max="3" width="55" hidden="0" customWidth="1"/>
    <x:col min="4" max="4" width="27" hidden="0" customWidth="1"/>
    <x:col min="5" max="5" width="85" hidden="0" customWidth="1"/>
  </x:cols>
  <x:sheetData>
    <x:row r="1">
      <x:c r="A1" s="1"/>
      <x:c r="B1" s="1"/>
      <x:c r="C1" s="1"/>
      <x:c r="D1" s="1"/>
      <x:c r="E1" s="1"/>
    </x:row>
    <x:row r="2" ht="25" customHeight="1">
      <x:c r="A2" s="2" t="str">
        <x:v>Equipo directivo y funciones propuestas</x:v>
      </x:c>
      <x:c r="B2" s="1"/>
      <x:c r="C2" s="1"/>
      <x:c r="D2" s="1"/>
      <x:c r="E2" s="1"/>
    </x:row>
    <x:row r="3" ht="20" customHeight="1">
      <x:c r="A3" s="3" t="str">
        <x:v>Cargos informados por usuario. Las funciones de proyecto requieren acuerdo.</x:v>
      </x:c>
      <x:c r="B3" s="1"/>
      <x:c r="C3" s="1"/>
      <x:c r="D3" s="1"/>
      <x:c r="E3" s="1"/>
    </x:row>
    <x:row r="4">
      <x:c r="A4" s="1"/>
      <x:c r="B4" s="1"/>
      <x:c r="C4" s="1"/>
      <x:c r="D4" s="1"/>
      <x:c r="E4" s="1"/>
    </x:row>
    <x:row r="5" ht="40" customHeight="1">
      <x:c r="A5" s="8" t="str">
        <x:v>Persona</x:v>
      </x:c>
      <x:c r="B5" s="8" t="str">
        <x:v>Cargo informado</x:v>
      </x:c>
      <x:c r="C5" s="8" t="str">
        <x:v>Función propuesta</x:v>
      </x:c>
      <x:c r="D5" s="8" t="str">
        <x:v>Estado</x:v>
      </x:c>
      <x:c r="E5" s="8" t="str">
        <x:v>Facultad por acordar</x:v>
      </x:c>
    </x:row>
    <x:row r="6" ht="28" customHeight="1">
      <x:c r="A6" s="11" t="str">
        <x:v>Pablo Bertolissio</x:v>
      </x:c>
      <x:c r="B6" s="11" t="str">
        <x:v>Gerente General DIARCO</x:v>
      </x:c>
      <x:c r="C6" s="11" t="str">
        <x:v>Sponsor operativo DIARCO (SP)</x:v>
      </x:c>
      <x:c r="D6" s="11" t="str">
        <x:v>Propuesta a confirmar</x:v>
      </x:c>
      <x:c r="E6" s="11" t="str">
        <x:v>Prioridad, capacidad interna y gates operativos</x:v>
      </x:c>
    </x:row>
    <x:row r="7" ht="28" customHeight="1">
      <x:c r="A7" s="12" t="str">
        <x:v>Roberto Goldfarb</x:v>
      </x:c>
      <x:c r="B7" s="12" t="str">
        <x:v>Owner DIARCO</x:v>
      </x:c>
      <x:c r="C7" s="12" t="str">
        <x:v>Patrocinio institucional y escalación estratégica</x:v>
      </x:c>
      <x:c r="D7" s="12" t="str">
        <x:v>Propuesta a confirmar</x:v>
      </x:c>
      <x:c r="E7" s="12" t="str">
        <x:v>Respaldo de transformación y conflictos de prioridad de compañía</x:v>
      </x:c>
    </x:row>
    <x:row r="8" ht="28" customHeight="1">
      <x:c r="A8" s="11" t="str">
        <x:v>Daniel Padin</x:v>
      </x:c>
      <x:c r="B8" s="11" t="str">
        <x:v>CEO Zeetrex</x:v>
      </x:c>
      <x:c r="C8" s="11" t="str">
        <x:v>Sponsor ejecutivo Zeetrex</x:v>
      </x:c>
      <x:c r="D8" s="11" t="str">
        <x:v>Propuesta a confirmar</x:v>
      </x:c>
      <x:c r="E8" s="11" t="str">
        <x:v>Compromiso de entrega, recursos y escalación de Zeetrex</x:v>
      </x:c>
    </x:row>
    <x:row r="9" ht="28" customHeight="1">
      <x:c r="A9" s="12" t="str">
        <x:v>Luciano Calcagno</x:v>
      </x:c>
      <x:c r="B9" s="12" t="str">
        <x:v>POO Zeetrex</x:v>
      </x:c>
      <x:c r="C9" s="12" t="str">
        <x:v>Líder implementación Zeetrex (LZ)</x:v>
      </x:c>
      <x:c r="D9" s="12" t="str">
        <x:v>Propuesta a confirmar</x:v>
      </x:c>
      <x:c r="E9" s="12" t="str">
        <x:v>Plan integrado y coordinación de ejecución</x:v>
      </x:c>
    </x:row>
    <x:row r="10" ht="28" customHeight="1">
      <x:c r="A10" s="11" t="str">
        <x:v>Eduardo Ettlin</x:v>
      </x:c>
      <x:c r="B10" s="11" t="str">
        <x:v>CTO Zeetrex</x:v>
      </x:c>
      <x:c r="C10" s="11" t="str">
        <x:v>Autoridad técnica y coordinación L2 (ZT)</x:v>
      </x:c>
      <x:c r="D10" s="11" t="str">
        <x:v>Propuesta a confirmar</x:v>
      </x:c>
      <x:c r="E10" s="11" t="str">
        <x:v>Arquitectura, integraciones y decisiones técnicas</x:v>
      </x:c>
    </x:row>
  </x:sheetData>
  <x:pageMargins left="0.7" right="0.7" top="0.75" bottom="0.75" header="0.3" footer="0.3"/>
  <x:tableParts count="1">
    <x:tablePart xmlns:r="http://schemas.openxmlformats.org/officeDocument/2006/relationships" r:id="Rf9bfef21adf74f8a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43" hidden="0" customWidth="1"/>
    <x:col min="3" max="3" width="32" hidden="0" customWidth="1"/>
    <x:col min="4" max="4" width="100" hidden="0" customWidth="1"/>
    <x:col min="5" max="5" width="100" hidden="0" customWidth="1"/>
  </x:cols>
  <x:sheetData>
    <x:row r="1">
      <x:c r="A1" s="1"/>
      <x:c r="B1" s="1"/>
      <x:c r="C1" s="1"/>
      <x:c r="D1" s="1"/>
      <x:c r="E1" s="1"/>
    </x:row>
    <x:row r="2" ht="25" customHeight="1">
      <x:c r="A2" s="2" t="str">
        <x:v>Fuentes y precedencia</x:v>
      </x:c>
      <x:c r="B2" s="1"/>
      <x:c r="C2" s="1"/>
      <x:c r="D2" s="1"/>
      <x:c r="E2" s="1"/>
    </x:row>
    <x:row r="3" ht="20" customHeight="1">
      <x:c r="A3" s="3" t="str">
        <x:v>Precedencia: instrucciones del usuario (04/11 y convivencia), IMPLEMENTACION/Estrategia, detalle reuniones. Fechas históricas no certifican ejecución.</x:v>
      </x:c>
      <x:c r="B3" s="1"/>
      <x:c r="C3" s="1"/>
      <x:c r="D3" s="1"/>
      <x:c r="E3" s="1"/>
    </x:row>
    <x:row r="4">
      <x:c r="A4" s="1"/>
      <x:c r="B4" s="1"/>
      <x:c r="C4" s="1"/>
      <x:c r="D4" s="1"/>
      <x:c r="E4" s="1"/>
    </x:row>
    <x:row r="5" ht="40" customHeight="1">
      <x:c r="A5" s="8" t="str">
        <x:v>ID</x:v>
      </x:c>
      <x:c r="B5" s="8" t="str">
        <x:v>Fuente</x:v>
      </x:c>
      <x:c r="C5" s="8" t="str">
        <x:v>Corte</x:v>
      </x:c>
      <x:c r="D5" s="8" t="str">
        <x:v>Uso / límites</x:v>
      </x:c>
      <x:c r="E5" s="8" t="str">
        <x:v>Ubicación</x:v>
      </x:c>
    </x:row>
    <x:row r="6" ht="28" customHeight="1">
      <x:c r="A6" s="11" t="str">
        <x:v>S01</x:v>
      </x:c>
      <x:c r="B6" s="11" t="str">
        <x:v>Solicitud del usuario</x:v>
      </x:c>
      <x:c r="C6" s="11" t="str">
        <x:v>29/10/2026</x:v>
      </x:c>
      <x:c r="D6" s="11" t="str">
        <x:v>Necesidad de compromiso DIARCO, referentes, WBS, formación, UAT y soporte.</x:v>
      </x:c>
      <x:c r="E6" s="11" t="str">
        <x:v>Conversación de trabajo</x:v>
      </x:c>
    </x:row>
    <x:row r="7" ht="28" customHeight="1">
      <x:c r="A7" s="12" t="str">
        <x:v>S02</x:v>
      </x:c>
      <x:c r="B7" s="12" t="str">
        <x:v>Metodología Connexa v0.1</x:v>
      </x:c>
      <x:c r="C7" s="12" t="str">
        <x:v>27/07/2026</x:v>
      </x:c>
      <x:c r="D7" s="12" t="str">
        <x:v>Antecedente aprobado según sus metadatos. Duraciones sin calibrar.</x:v>
      </x:c>
      <x:c r="E7" s="12" t="str">
        <x:v>CONNEXA_FRAMEWORK/docs/20-metodologia-implementacion/00-metodologia-implementacion-v0.md</x:v>
      </x:c>
    </x:row>
    <x:row r="8" ht="28" customHeight="1">
      <x:c r="A8" s="11" t="str">
        <x:v>S03</x:v>
      </x:c>
      <x:c r="B8" s="11" t="str">
        <x:v>Artefactos y criterios de salida</x:v>
      </x:c>
      <x:c r="C8" s="11" t="str">
        <x:v>27/07/2026</x:v>
      </x:c>
      <x:c r="D8" s="11" t="str">
        <x:v>Borrador de referencia. Cierre mediante evidencia y validación.</x:v>
      </x:c>
      <x:c r="E8" s="11" t="str">
        <x:v>CONNEXA_FRAMEWORK/docs/20-metodologia-implementacion/03-artefactos-y-criterios-de-salida.md</x:v>
      </x:c>
    </x:row>
    <x:row r="9" ht="28" customHeight="1">
      <x:c r="A9" s="12" t="str">
        <x:v>S04</x:v>
      </x:c>
      <x:c r="B9" s="12" t="str">
        <x:v>Informe ejecutivo WBS septiembre</x:v>
      </x:c>
      <x:c r="C9" s="12" t="str">
        <x:v>21/09/2026</x:v>
      </x:c>
      <x:c r="D9" s="12" t="str">
        <x:v>Antecedente histórico. Porcentajes y fechas no verifican preparación actual.</x:v>
      </x:c>
      <x:c r="E9" s="12" t="str">
        <x:v>https://docs.google.com/document/d/1rhQI7f-sLXPjlrbATOFqlTWYBZ4-4esDDBgchhGvwXA/edit</x:v>
      </x:c>
    </x:row>
    <x:row r="10" ht="28" customHeight="1">
      <x:c r="A10" s="11" t="str">
        <x:v>S05</x:v>
      </x:c>
      <x:c r="B10" s="11" t="str">
        <x:v>Reunión Plan Despliegue</x:v>
      </x:c>
      <x:c r="C10" s="11" t="str">
        <x:v>16/10/2026</x:v>
      </x:c>
      <x:c r="D10" s="11" t="str">
        <x:v>Transcripción. Propone convivencia SGM y despliegue gradual. No es acta aprobada.</x:v>
      </x:c>
      <x:c r="E10" s="11" t="str">
        <x:v>https://drive.google.com/file/d/1Wuug8RN0KgaodiotYqKLv-wWiXVunMSR/view</x:v>
      </x:c>
    </x:row>
    <x:row r="11" ht="28" customHeight="1">
      <x:c r="A11" s="12" t="str">
        <x:v>S06</x:v>
      </x:c>
      <x:c r="B11" s="12" t="str">
        <x:v>DIARCO cambios octubre</x:v>
      </x:c>
      <x:c r="C11" s="12" t="str">
        <x:v>Actualizado 28/10/2026</x:v>
      </x:c>
      <x:c r="D11" s="12" t="str">
        <x:v>Mezcla realizados, pedidos y decisiones abiertas. No clasifica definitivamente B1/B2/B3.</x:v>
      </x:c>
      <x:c r="E11" s="12" t="str">
        <x:v>https://docs.google.com/document/d/13tTsK9QcUGNsY8hy5iSmRKclbCbAFbR0-_iVH-QNf1I/edit</x:v>
      </x:c>
    </x:row>
    <x:row r="12" ht="28" customHeight="1">
      <x:c r="A12" s="11" t="str">
        <x:v>S07</x:v>
      </x:c>
      <x:c r="B12" s="11" t="str">
        <x:v>PDD alcance Fase 1 v1.1</x:v>
      </x:c>
      <x:c r="C12" s="11" t="str">
        <x:v>28/07/2026</x:v>
      </x:c>
      <x:c r="D12" s="11" t="str">
        <x:v>Alcance específico de PDD. Fase 1 no equivale a Bloque 1 del programa.</x:v>
      </x:c>
      <x:c r="E12" s="11" t="str">
        <x:v>PDD/PDD - ALCANCE Fase 1.md</x:v>
      </x:c>
    </x:row>
    <x:row r="13" ht="28" customHeight="1">
      <x:c r="A13" s="12" t="str">
        <x:v>S08</x:v>
      </x:c>
      <x:c r="B13" s="12" t="str">
        <x:v>PDD preflight Inventory</x:v>
      </x:c>
      <x:c r="C13" s="12" t="str">
        <x:v>29/10/2026</x:v>
      </x:c>
      <x:c r="D13" s="12" t="str">
        <x:v>Foto histórica de cobertura TEST/PROD. Requiere lectura nueva antes de habilitar.</x:v>
      </x:c>
      <x:c r="E13" s="12" t="str">
        <x:v>PDD/documentacion/16_preflight_inventory_y_continuidad_20261029.md</x:v>
      </x:c>
    </x:row>
    <x:row r="14" ht="28" customHeight="1">
      <x:c r="A14" s="11" t="str">
        <x:v>S09</x:v>
      </x:c>
      <x:c r="B14" s="11" t="str">
        <x:v>Diseño de este kit</x:v>
      </x:c>
      <x:c r="C14" s="11" t="str">
        <x:v>29/10/2026</x:v>
      </x:c>
      <x:c r="D14" s="11" t="str">
        <x:v>Roles, actividades, tiempos, umbrales y prioridades son propuestas a validar.</x:v>
      </x:c>
      <x:c r="E14" s="11" t="str">
        <x:v>Zeetrex / CNX_BLOQUE1 v0.1</x:v>
      </x:c>
    </x:row>
    <x:row r="15" ht="35" customHeight="1">
      <x:c r="A15" s="12" t="str">
        <x:v>S10</x:v>
      </x:c>
      <x:c r="B15" s="12" t="str">
        <x:v>Plan de Despliegue - Estrategia</x:v>
      </x:c>
      <x:c r="C15" s="12" t="str">
        <x:v>16/10/2026; seleccionado 29/10</x:v>
      </x:c>
      <x:c r="D15" s="12" t="str">
        <x:v>Fuente rectora elegida expresamente por el usuario. Convivencia gradual. 07/11 disponibilidad, 09/11 pruebas previstas.</x:v>
      </x:c>
      <x:c r="E15" s="12" t="str">
        <x:v>CNX_BLOQUE1/documentacion/Plan de Despliegue - Estrategia.md</x:v>
      </x:c>
    </x:row>
    <x:row r="16" ht="35" customHeight="1">
      <x:c r="A16" s="11" t="str">
        <x:v>S11</x:v>
      </x:c>
      <x:c r="B16" s="11" t="str">
        <x:v>PLAN DE DESPLIEGUE</x:v>
      </x:c>
      <x:c r="C16" s="11" t="str">
        <x:v>Antecedente local</x:v>
      </x:c>
      <x:c r="D16" s="11" t="str">
        <x:v>Contiene corte total al 07/11 incompatible con S10. No rige ese corte por decisión expresa del usuario.</x:v>
      </x:c>
      <x:c r="E16" s="11" t="str">
        <x:v>CNX_BLOQUE1/documentacion/PLAN DE DESPLIEGUE.md</x:v>
      </x:c>
    </x:row>
    <x:row r="17" ht="35" customHeight="1">
      <x:c r="A17" s="12" t="str">
        <x:v>S12</x:v>
      </x:c>
      <x:c r="B17" s="12" t="str">
        <x:v>Nombres y cargos informados por el usuario</x:v>
      </x:c>
      <x:c r="C17" s="12" t="str">
        <x:v>29/10/2026</x:v>
      </x:c>
      <x:c r="D17" s="12" t="str">
        <x:v>Pablo Bertolissio, Roberto Goldfarb, Daniel Padin, Luciano Calcagno y Eduardo Ettlin. Facultades de proyecto propuestas, no aceptadas todavía.</x:v>
      </x:c>
      <x:c r="E17" s="12" t="str">
        <x:v>Conversación de trabajo</x:v>
      </x:c>
    </x:row>
    <x:row r="18" ht="35" customHeight="1">
      <x:c r="A18" s="11" t="str">
        <x:v>S13</x:v>
      </x:c>
      <x:c r="B18" s="11" t="str">
        <x:v>Objetivo de paralelo desde 04/11</x:v>
      </x:c>
      <x:c r="C18" s="11" t="str">
        <x:v>29/10/2026</x:v>
      </x:c>
      <x:c r="D18" s="11" t="str">
        <x:v>Instrucción más reciente: disponibilidad de módulos productivos, smoke tests y algunos días de paralelo desde 04/11, aceptación progresiva. Sigue valiendo información DIARCO/SGM.</x:v>
      </x:c>
      <x:c r="E18" s="11" t="str">
        <x:v>Conversación de trabajo</x:v>
      </x:c>
    </x:row>
    <x:row r="19" ht="35" customHeight="1">
      <x:c r="A19" s="12" t="str">
        <x:v>S14</x:v>
      </x:c>
      <x:c r="B19" s="12" t="str">
        <x:v>Drive compartido / IMPLEMENTACION</x:v>
      </x:c>
      <x:c r="C19" s="12" t="str">
        <x:v>Consultado 29/10/2026</x:v>
      </x:c>
      <x:c r="D19" s="12" t="str">
        <x:v>Repositorio del equipo indicado por usuario. IMPLEMENTACION es la carpeta principal para el plan. Sólo lectura.</x:v>
      </x:c>
      <x:c r="E19" s="12" t="str">
        <x:v>https://drive.google.com/drive/folders/16nz4aDlr91-vfIEMitnNC3J1JvD3MVd2</x:v>
      </x:c>
    </x:row>
    <x:row r="20" ht="35" customHeight="1">
      <x:c r="A20" s="11" t="str">
        <x:v>S15</x:v>
      </x:c>
      <x:c r="B20" s="11" t="str">
        <x:v>Plan_Connexa_20261016.pdf</x:v>
      </x:c>
      <x:c r="C20" s="11" t="str">
        <x:v>Compartido 19/10/2026</x:v>
      </x:c>
      <x:c r="D20" s="11" t="str">
        <x:v>Módulos, validadores e infraestructura AP/PDA. Fechas y corte total quedan subordinados a S10/S13 por instrucción del usuario.</x:v>
      </x:c>
      <x:c r="E20" s="11" t="str">
        <x:v>https://drive.google.com/file/d/15phYIe_bxgcxKCC2tlU0dLbj8AQxeKlH/view</x:v>
      </x:c>
    </x:row>
    <x:row r="21" ht="35" customHeight="1">
      <x:c r="A21" s="12" t="str">
        <x:v>S16</x:v>
      </x:c>
      <x:c r="B21" s="12" t="str">
        <x:v>Resumen ejecutivo post reuniones 20/10</x:v>
      </x:c>
      <x:c r="C21" s="12" t="str">
        <x:v>21/10/2026</x:v>
      </x:c>
      <x:c r="D21" s="12" t="str">
        <x:v>Aprobación única OC, OC madre/PDA, gobierno de maestros y compromisos VKM. No prueba que acciones posteriores se cumplieron.</x:v>
      </x:c>
      <x:c r="E21" s="12" t="str">
        <x:v>https://drive.google.com/file/d/12nzA5UzuvW4hFuwNvo7B9BM548QpNfdr/view</x:v>
      </x:c>
    </x:row>
    <x:row r="22" ht="28" customHeight="1">
      <x:c r="A22" s="11" t="str">
        <x:v>S17</x:v>
      </x:c>
      <x:c r="B22" s="11" t="str">
        <x:v>Resumen reuniones 20/10</x:v>
      </x:c>
      <x:c r="C22" s="11" t="str">
        <x:v>Compartido 21/10/2026</x:v>
      </x:c>
      <x:c r="D22" s="11" t="str">
        <x:v>Casos de compras/logística y conciliación de facturas B2. Compromisos históricos por verificar.</x:v>
      </x:c>
      <x:c r="E22" s="11" t="str">
        <x:v>https://drive.google.com/file/d/1Lv8NQqOtdMPTBJGtMdPZ7aL9dbVM2H1D/view</x:v>
      </x:c>
    </x:row>
    <x:row r="23" ht="35" customHeight="1">
      <x:c r="A23" s="12" t="str">
        <x:v>S18</x:v>
      </x:c>
      <x:c r="B23" s="12" t="str">
        <x:v>Estrategia en IMPLEMENTACION</x:v>
      </x:c>
      <x:c r="C23" s="12" t="str">
        <x:v>Compartido 19/10/2026</x:v>
      </x:c>
      <x:c r="D23" s="12" t="str">
        <x:v>Versión PDF de la Estrategia rectora local. Convivencia gradual y separación disponibilidad/adopción.</x:v>
      </x:c>
      <x:c r="E23" s="12" t="str">
        <x:v>https://drive.google.com/file/d/1Ef2XfwjCcZG5W82jWGe_biuLPYbcQVv8/view</x:v>
      </x:c>
    </x:row>
    <x:row r="24" ht="35" customHeight="1">
      <x:c r="A24" s="11" t="str">
        <x:v>S19</x:v>
      </x:c>
      <x:c r="B24" s="11" t="str">
        <x:v>Relanzar Recepción e Inventarios</x:v>
      </x:c>
      <x:c r="C24" s="11" t="str">
        <x:v>22/10/2026</x:v>
      </x:c>
      <x:c r="D24" s="11" t="str">
        <x:v>Disponibilidad y confiabilidad de stock se validan por separado. Wi-Fi, PDA, tienda escuela y primeras sucursales pendientes.</x:v>
      </x:c>
      <x:c r="E24" s="11" t="str">
        <x:v>https://drive.google.com/file/d/13gg2896DrzNJE-QJPVw9ZjxIwO77xM82/view</x:v>
      </x:c>
    </x:row>
    <x:row r="25" ht="35" customHeight="1">
      <x:c r="A25" s="12" t="str">
        <x:v>S20</x:v>
      </x:c>
      <x:c r="B25" s="12" t="str">
        <x:v>Equipo técnico SM-MO-EWE</x:v>
      </x:c>
      <x:c r="C25" s="12" t="str">
        <x:v>22/10/2026</x:v>
      </x:c>
      <x:c r="D25" s="12" t="str">
        <x:v>Pruebas parciales informadas; pendientes SGM, autorizaciones, remitos, túnel, maestros y PDA/QR. No acredita cierre del 26/10.</x:v>
      </x:c>
      <x:c r="E25" s="12" t="str">
        <x:v>https://drive.google.com/file/d/1NJY0-0vUk1PjiCopLtRTub1ZE-hMo3Hx/view</x:v>
      </x:c>
    </x:row>
    <x:row r="26" ht="28" customHeight="1">
      <x:c r="A26" s="11" t="str">
        <x:v>S21</x:v>
      </x:c>
      <x:c r="B26" s="11" t="str">
        <x:v>Equipo técnico MO-EWE</x:v>
      </x:c>
      <x:c r="C26" s="11" t="str">
        <x:v>21/10/2026</x:v>
      </x:c>
      <x:c r="D26" s="11" t="str">
        <x:v>OC madre demostrada. Concurrencia de recepciones y cambio de lista todavía a validar.</x:v>
      </x:c>
      <x:c r="E26" s="11" t="str">
        <x:v>https://drive.google.com/file/d/19o9Yfk5MbfNNvdoITYqZy0iqB2lQ-yw1/view</x:v>
      </x:c>
    </x:row>
    <x:row r="27" ht="28" customHeight="1">
      <x:c r="A27" s="12" t="str">
        <x:v>S22</x:v>
      </x:c>
      <x:c r="B27" s="12" t="str">
        <x:v>Auditoría</x:v>
      </x:c>
      <x:c r="C27" s="12" t="str">
        <x:v>20/10/2026</x:v>
      </x:c>
      <x:c r="D27" s="12" t="str">
        <x:v>Guillermo Alvez, interlocutor. Gobierno de datos y workflows requieren definición organizativa.</x:v>
      </x:c>
      <x:c r="E27" s="12" t="str">
        <x:v>https://drive.google.com/file/d/12NzBdTsjvkwqv7ZnndETBb2hQuCScixH/view</x:v>
      </x:c>
    </x:row>
    <x:row r="28" ht="35" customHeight="1">
      <x:c r="A28" s="11" t="str">
        <x:v>S23</x:v>
      </x:c>
      <x:c r="B28" s="11" t="str">
        <x:v>Compradores</x:v>
      </x:c>
      <x:c r="C28" s="11" t="str">
        <x:v>20/10/2026</x:v>
      </x:c>
      <x:c r="D28" s="11" t="str">
        <x:v>Romina Garfi, Roxana Frutos, Paloma Romero y Diego Baldi, interlocutores. OC madre y descuentos requieren pruebas.</x:v>
      </x:c>
      <x:c r="E28" s="11" t="str">
        <x:v>https://drive.google.com/file/d/1QRjn1y4a-0DLcG3nCLujM8VaB0FBFPzl/view</x:v>
      </x:c>
    </x:row>
    <x:row r="29" ht="35" customHeight="1">
      <x:c r="A29" s="12" t="str">
        <x:v>S24</x:v>
      </x:c>
      <x:c r="B29" s="12" t="str">
        <x:v>Logística y Valkimia</x:v>
      </x:c>
      <x:c r="C29" s="12" t="str">
        <x:v>20/10/2026</x:v>
      </x:c>
      <x:c r="D29" s="12" t="str">
        <x:v>Christian Rojas/Gastón en Logística. API/Excel y redespachos no son una especificación aprobada.</x:v>
      </x:c>
      <x:c r="E29" s="12" t="str">
        <x:v>https://drive.google.com/file/d/1aY5pXBry83kI8Fs4pHE2cmezpGWFic3r/view</x:v>
      </x:c>
    </x:row>
    <x:row r="30" ht="35" customHeight="1">
      <x:c r="A30" s="11" t="str">
        <x:v>S25</x:v>
      </x:c>
      <x:c r="B30" s="11" t="str">
        <x:v>Listas de proveedores</x:v>
      </x:c>
      <x:c r="C30" s="11" t="str">
        <x:v>13/10/2026</x:v>
      </x:c>
      <x:c r="D30" s="11" t="str">
        <x:v>Sebastián Basconcelos según esta minuta. Reglas de netos, precedencia y bonificaciones a validar.</x:v>
      </x:c>
      <x:c r="E30" s="11" t="str">
        <x:v>https://drive.google.com/file/d/14fA4uzvnh88GG3A8Puim1tiVch5RGl3A/view</x:v>
      </x:c>
    </x:row>
    <x:row r="31" ht="35" customHeight="1">
      <x:c r="A31" s="12" t="str">
        <x:v>S26</x:v>
      </x:c>
      <x:c r="B31" s="12" t="str">
        <x:v>Pendientes de implementación</x:v>
      </x:c>
      <x:c r="C31" s="12" t="str">
        <x:v>19/10/2026</x:v>
      </x:c>
      <x:c r="D31" s="12" t="str">
        <x:v>Identifica interlocutores y deja QX/reposición automática para después de estabilización, fin B2. Confirmar frontera.</x:v>
      </x:c>
      <x:c r="E31" s="12" t="str">
        <x:v>https://drive.google.com/file/d/1UD6RZoactv23cY9J6RaK5-qGq5neW8DX/view</x:v>
      </x:c>
    </x:row>
    <x:row r="32" ht="35" customHeight="1">
      <x:c r="A32" s="11" t="str">
        <x:v>S27</x:v>
      </x:c>
      <x:c r="B32" s="11" t="str">
        <x:v>Informe ejecutivo 23/10</x:v>
      </x:c>
      <x:c r="C32" s="11" t="str">
        <x:v>23/10/2026</x:v>
      </x:c>
      <x:c r="D32" s="11" t="str">
        <x:v>Última evidencia de reuniones al 22/10. No acredita cierre posterior de recuperación, integración o aceptación B1.</x:v>
      </x:c>
      <x:c r="E32" s="11" t="str">
        <x:v>https://drive.google.com/file/d/1MiOVTdg-nJS0WnxPQHmkiJBW_sF3PKtP/view</x:v>
      </x:c>
    </x:row>
    <x:row r="33" ht="35" customHeight="1">
      <x:c r="A33" s="12" t="str">
        <x:v>S28</x:v>
      </x:c>
      <x:c r="B33" s="12" t="str">
        <x:v>Clusters y segmentos</x:v>
      </x:c>
      <x:c r="C33" s="12" t="str">
        <x:v>20/10/2026</x:v>
      </x:c>
      <x:c r="D33" s="12" t="str">
        <x:v>Liliana D’Amico. Seis segmentos son propuesta, modelo definitivo pendiente de simulación de categoría.</x:v>
      </x:c>
      <x:c r="E33" s="12" t="str">
        <x:v>https://drive.google.com/file/d/1aeoaYyiU3w15atsmD3zDT3W_ZMS2pfr0/view</x:v>
      </x:c>
    </x:row>
    <x:row r="34" ht="28" customHeight="1">
      <x:c r="A34" s="11" t="str">
        <x:v>S29</x:v>
      </x:c>
      <x:c r="B34" s="11" t="str">
        <x:v>Contratos Valkimia</x:v>
      </x:c>
      <x:c r="C34" s="11" t="str">
        <x:v>20/10/2026</x:v>
      </x:c>
      <x:c r="D34" s="11" t="str">
        <x:v>Gustavo Palacios y Fernando de Pedro. Excel sigue en evaluación. No asumir disponible.</x:v>
      </x:c>
      <x:c r="E34" s="11" t="str">
        <x:v>https://drive.google.com/file/d/1Q5bV7YBnVGcCHOKnk8j_ZhWpfEJHOINn/view</x:v>
      </x:c>
    </x:row>
    <x:row r="35" ht="28" customHeight="1">
      <x:c r="A35" s="12" t="str">
        <x:v>S30</x:v>
      </x:c>
      <x:c r="B35" s="12" t="str">
        <x:v>Conciliación de facturas</x:v>
      </x:c>
      <x:c r="C35" s="12" t="str">
        <x:v>20/10/2026</x:v>
      </x:c>
      <x:c r="D35" s="12" t="str">
        <x:v>Walter Sosa y Guillermo Alvez. Triple control OC/recepción/factura corresponde a Bloque 2.</x:v>
      </x:c>
      <x:c r="E35" s="12" t="str">
        <x:v>https://drive.google.com/file/d/1T297puOriKOsheglNGY-Sxj4W4aJKlM9/view</x:v>
      </x:c>
    </x:row>
  </x:sheetData>
  <x:pageMargins left="0.7" right="0.7" top="0.75" bottom="0.75" header="0.3" footer="0.3"/>
  <x:tableParts count="1">
    <x:tablePart xmlns:r="http://schemas.openxmlformats.org/officeDocument/2006/relationships" r:id="R4ad7116cff3f497d"/>
  </x:tableParts>
</x:worksheet>
</file>