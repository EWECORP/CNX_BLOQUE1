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ROYECTOS\ETL\CNX_BLOQUE1\outputs\20261029\"/>
    </mc:Choice>
  </mc:AlternateContent>
  <xr:revisionPtr revIDLastSave="0" documentId="13_ncr:1_{4279963D-F5F5-4B07-A585-35FA0923910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sumen" sheetId="1" r:id="rId1"/>
    <sheet name="Asignaciones" sheetId="2" r:id="rId2"/>
    <sheet name="WBS" sheetId="3" r:id="rId3"/>
    <sheet name="RACI" sheetId="4" r:id="rId4"/>
    <sheet name="GAPS" sheetId="5" r:id="rId5"/>
    <sheet name="UAT" sheetId="6" r:id="rId6"/>
    <sheet name="OC paralelo" sheetId="7" r:id="rId7"/>
    <sheet name="Formacion" sheetId="8" r:id="rId8"/>
    <sheet name="Decisiones" sheetId="9" r:id="rId9"/>
    <sheet name="Gates" sheetId="10" r:id="rId10"/>
    <sheet name="Riesgos" sheetId="11" r:id="rId11"/>
    <sheet name="Capacidad" sheetId="12" r:id="rId12"/>
    <sheet name="Gobierno" sheetId="13" r:id="rId13"/>
    <sheet name="Fuent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31" i="6"/>
  <c r="C32" i="6"/>
  <c r="C33" i="6"/>
  <c r="C34" i="6"/>
  <c r="C35" i="6"/>
  <c r="C36" i="6"/>
  <c r="C37" i="6"/>
  <c r="C38" i="6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O15" i="2"/>
  <c r="O14" i="2"/>
  <c r="O13" i="2"/>
  <c r="O12" i="2"/>
  <c r="O11" i="2"/>
  <c r="O10" i="2"/>
  <c r="O9" i="2"/>
  <c r="O8" i="2"/>
  <c r="O7" i="2"/>
  <c r="O6" i="2"/>
  <c r="B16" i="1"/>
  <c r="B15" i="1"/>
  <c r="B14" i="1"/>
  <c r="B13" i="1"/>
  <c r="B12" i="1"/>
  <c r="B11" i="1"/>
  <c r="B9" i="1"/>
  <c r="B10" i="1" l="1"/>
</calcChain>
</file>

<file path=xl/sharedStrings.xml><?xml version="1.0" encoding="utf-8"?>
<sst xmlns="http://schemas.openxmlformats.org/spreadsheetml/2006/main" count="2766" uniqueCount="1274">
  <si>
    <t>DIARCO · Implementación Bloque 1</t>
  </si>
  <si>
    <t>Objetivo vigente</t>
  </si>
  <si>
    <t>Desde 04/11: módulos productivos, smoke y paralelo</t>
  </si>
  <si>
    <t>Autoridad en paralelo</t>
  </si>
  <si>
    <t>La información DIARCO/SGM sigue siendo válida</t>
  </si>
  <si>
    <t>Estado del kit</t>
  </si>
  <si>
    <t>Propuesta. Sin ejecución ni aceptación acreditadas</t>
  </si>
  <si>
    <t>Indicador de preparación</t>
  </si>
  <si>
    <t>Cantidad</t>
  </si>
  <si>
    <t>Frentes B1 planificados</t>
  </si>
  <si>
    <t>Equipos con compromiso nominal</t>
  </si>
  <si>
    <t>Actividades WBS propuestas</t>
  </si>
  <si>
    <t>Actividades con cierre documentado</t>
  </si>
  <si>
    <t>Registros UAT/smoke</t>
  </si>
  <si>
    <t>Ejecuciones aceptadas con evidencia</t>
  </si>
  <si>
    <t>Decisiones aún sin resolver</t>
  </si>
  <si>
    <t>Próximo paso de Dirección</t>
  </si>
  <si>
    <t>Confirmar personas, horas y población del paralelo</t>
  </si>
  <si>
    <t>Uso del libro</t>
  </si>
  <si>
    <t>Amarillo = entrada humana. Fórmulas = control documental, no aprobación automática.</t>
  </si>
  <si>
    <t>UAT: conservar ejecuciones y repruebas. OC paralelo: duplicar bloque por OC/línea.</t>
  </si>
  <si>
    <t>Los indicadores iniciales muestran preparación pendiente, no porcentajes de avance histórico.</t>
  </si>
  <si>
    <t>Un gate requiere firma humana y evidencia, aunque los controles documentales estén completos.</t>
  </si>
  <si>
    <t>Equipo por capacidad</t>
  </si>
  <si>
    <t>Amarillo: completar. Los nombres de antecedentes no equivalen a una designación aceptada.</t>
  </si>
  <si>
    <t>ID</t>
  </si>
  <si>
    <t>Capacidad B1</t>
  </si>
  <si>
    <t>Bloque</t>
  </si>
  <si>
    <t>Dueño propuesto (función)</t>
  </si>
  <si>
    <t>Interlocutor de antecedentes</t>
  </si>
  <si>
    <t>Titular confirmado</t>
  </si>
  <si>
    <t>Suplente confirmado</t>
  </si>
  <si>
    <t>Jefatura que libera tiempo</t>
  </si>
  <si>
    <t>h titular/semana</t>
  </si>
  <si>
    <t>h suplente/semana</t>
  </si>
  <si>
    <t>Ventanas de agenda</t>
  </si>
  <si>
    <t>Compromiso</t>
  </si>
  <si>
    <t>Acepta jefatura</t>
  </si>
  <si>
    <t>Fecha aceptación</t>
  </si>
  <si>
    <t>Preparación del equipo</t>
  </si>
  <si>
    <t>Dueño nominal confirmado</t>
  </si>
  <si>
    <t>Aceptación del dueño</t>
  </si>
  <si>
    <t>M01</t>
  </si>
  <si>
    <t>Catálogo y maestros</t>
  </si>
  <si>
    <t>B1</t>
  </si>
  <si>
    <t>Dueño de Datos Maestros</t>
  </si>
  <si>
    <t>Guillermo Alvez (Auditoría); designar Administración de Datos Maestros</t>
  </si>
  <si>
    <t>Sin confirmar</t>
  </si>
  <si>
    <t>M02</t>
  </si>
  <si>
    <t>Surtido, clusters y segmentos</t>
  </si>
  <si>
    <t>Dueño de Surtido</t>
  </si>
  <si>
    <t>Liliana D'Amico (sugerida por antecedentes)</t>
  </si>
  <si>
    <t>M03</t>
  </si>
  <si>
    <t>Listas y acuerdos comerciales de compra</t>
  </si>
  <si>
    <t>Dueño de Compras</t>
  </si>
  <si>
    <t>Sebastián Basconcelos (según minuta 13/10; confirmar designación)</t>
  </si>
  <si>
    <t>M04</t>
  </si>
  <si>
    <t>Forecast y compra inteligente/directa</t>
  </si>
  <si>
    <t>Dueño de Abastecimiento</t>
  </si>
  <si>
    <t>Romina Garfi, Carolina Tavernisse(Non-Food), Camila Klipauka(Perfumeria),Marcelo Cingolani, Diego Baldi(Perecederos), Paloma Romero (Barrio)</t>
  </si>
  <si>
    <t>M05</t>
  </si>
  <si>
    <t>Órdenes de compra e integración SGM</t>
  </si>
  <si>
    <t>M06</t>
  </si>
  <si>
    <t>Recepción en sucursal y convivencia SGM</t>
  </si>
  <si>
    <t>Dueño de Operaciones de Sucursal</t>
  </si>
  <si>
    <t>Fernando Ureña / Cecilia Camus / Javier Dafonte / Rodolfo Herlein (elegir titular)</t>
  </si>
  <si>
    <t>M07</t>
  </si>
  <si>
    <t>Inventarios y ajustes</t>
  </si>
  <si>
    <t>Dueño de Control de Inventarios</t>
  </si>
  <si>
    <t>Guillermo Alvez /Javier Dafonte</t>
  </si>
  <si>
    <t>M08</t>
  </si>
  <si>
    <t>PDD y necesidades de distribución</t>
  </si>
  <si>
    <t>Dueño de Planificación Logística</t>
  </si>
  <si>
    <t>Christian Rojas (logistica)/ Liliana D'Amico, Carolina Tavernisse ( Compras)</t>
  </si>
  <si>
    <t>M09</t>
  </si>
  <si>
    <t>Transferencias y distribución con Valkimia</t>
  </si>
  <si>
    <t>Dueño de Distribución</t>
  </si>
  <si>
    <t>Christian Rojas / Gastón (Logística), enlace Comercial a designar</t>
  </si>
  <si>
    <t>M10</t>
  </si>
  <si>
    <t>Stock, conciliación y observabilidad</t>
  </si>
  <si>
    <t>Dueño de Operación y Control de Stock</t>
  </si>
  <si>
    <t>IT + Control de Stock Hernan López Lider SGM DIARCO)</t>
  </si>
  <si>
    <t>Plan de ejecución del Bloque 1</t>
  </si>
  <si>
    <t>Filtrar por módulo/oleada. Fechas propuestas, sin ejecución acreditada. G1/G2 se instancian por población seleccionada.</t>
  </si>
  <si>
    <t>WBS</t>
  </si>
  <si>
    <t>Módulo</t>
  </si>
  <si>
    <t>Actividad</t>
  </si>
  <si>
    <t>Entregable / acción concreta</t>
  </si>
  <si>
    <t>R</t>
  </si>
  <si>
    <t>A</t>
  </si>
  <si>
    <t>Predecesoras</t>
  </si>
  <si>
    <t>Ventana propuesta</t>
  </si>
  <si>
    <t>Criterio de cierre</t>
  </si>
  <si>
    <t>Estado</t>
  </si>
  <si>
    <t>Nombre ejecutor R</t>
  </si>
  <si>
    <t>Fecha objetivo</t>
  </si>
  <si>
    <t>Evidencia</t>
  </si>
  <si>
    <t>Aceptado por</t>
  </si>
  <si>
    <t>Control de cierre</t>
  </si>
  <si>
    <t>1.01</t>
  </si>
  <si>
    <t>TRANSVERSAL</t>
  </si>
  <si>
    <t>Conciliar alcance y GAPS</t>
  </si>
  <si>
    <t>Baseline por capacidad con B1/B2/B3/pendiente, motivo y fuente</t>
  </si>
  <si>
    <t>LZ</t>
  </si>
  <si>
    <t>SP</t>
  </si>
  <si>
    <t>Preparación / G0</t>
  </si>
  <si>
    <t>Cada capacidad tiene decisión o bloqueo explícito. No se interpreta silencio como aprobación.</t>
  </si>
  <si>
    <t>Propuesto</t>
  </si>
  <si>
    <t>1.02</t>
  </si>
  <si>
    <t>Nombrar sponsor y líder DIARCO</t>
  </si>
  <si>
    <t>Acta con nombres, facultades y suplencias</t>
  </si>
  <si>
    <t>LD</t>
  </si>
  <si>
    <t>Lunes 02/11 propuesto</t>
  </si>
  <si>
    <t>Designaciones aceptadas por personas y jefaturas.</t>
  </si>
  <si>
    <t>1.03</t>
  </si>
  <si>
    <t>Asignar titulares y suplentes por módulo</t>
  </si>
  <si>
    <t>Fichas nominales y tiempo protegido</t>
  </si>
  <si>
    <t>Cada módulo B1 tiene dueño, referente, suplente y horas autorizadas.</t>
  </si>
  <si>
    <t>1.04</t>
  </si>
  <si>
    <t>Incorporar mesa de ayuda, IT y terceros</t>
  </si>
  <si>
    <t>Mapa de servicios, contactos, horario y escalamiento</t>
  </si>
  <si>
    <t>Semana 1</t>
  </si>
  <si>
    <t>Responsables y suplentes aceptan cobertura y simulacro.</t>
  </si>
  <si>
    <t>1.05</t>
  </si>
  <si>
    <t>Definir piloto, volumen y calendario</t>
  </si>
  <si>
    <t>Lista de usuarios/sitios/proveedores/casos, duración y exclusiones</t>
  </si>
  <si>
    <t>1.01;1.03;1.04</t>
  </si>
  <si>
    <t>Población, cobertura de excepciones y fechas acordadas con capacidad disponible.</t>
  </si>
  <si>
    <t>1.06</t>
  </si>
  <si>
    <t>Aprobar reglas de gobierno y G0</t>
  </si>
  <si>
    <t>Acta de inicio y decisiones abiertas</t>
  </si>
  <si>
    <t>1.01;1.02;1.03;1.04;1.05</t>
  </si>
  <si>
    <t>Semana 1 / G0</t>
  </si>
  <si>
    <t>Alcance, personas, capacidad, piloto y canal de decisiones registrados.</t>
  </si>
  <si>
    <t>2.01</t>
  </si>
  <si>
    <t>Relevar proceso actual y futuro</t>
  </si>
  <si>
    <t>Mapa extremo a extremo con cambios por rol</t>
  </si>
  <si>
    <t>RF</t>
  </si>
  <si>
    <t>DP</t>
  </si>
  <si>
    <t>Antes de cada módulo</t>
  </si>
  <si>
    <t>Cada actividad, control y excepción tiene dueño.</t>
  </si>
  <si>
    <t>2.02</t>
  </si>
  <si>
    <t>Acordar maestría y convivencia SGM</t>
  </si>
  <si>
    <t>Matriz entidad/operación/sistema autorizado por etapa</t>
  </si>
  <si>
    <t>IT</t>
  </si>
  <si>
    <t>Un solo escritor autorizado por entidad y etapa. Emisor al proveedor definido.</t>
  </si>
  <si>
    <t>2.03</t>
  </si>
  <si>
    <t>Preparar ambientes, roles y accesos</t>
  </si>
  <si>
    <t>Accesos probados con segregación y versión identificada</t>
  </si>
  <si>
    <t>Semana 1 y antes de cada prueba</t>
  </si>
  <si>
    <t>Usuarios entran y permisos positivos/negativos funcionan.</t>
  </si>
  <si>
    <t>2.04</t>
  </si>
  <si>
    <t>Fijar datos y resultados esperados</t>
  </si>
  <si>
    <t>Dataset versionado y casos dorados aprobados</t>
  </si>
  <si>
    <t>2.01;2.02;2.03</t>
  </si>
  <si>
    <t>Antes de UAT</t>
  </si>
  <si>
    <t>Cantidad/valor/regla esperados definidos por negocio, no sólo por el sistema.</t>
  </si>
  <si>
    <t>2.05</t>
  </si>
  <si>
    <t>Configurar trazabilidad de pruebas y tickets</t>
  </si>
  <si>
    <t>Repositorio, IDs y enlaces comunes</t>
  </si>
  <si>
    <t>Un GAP se vincula a WBS, caso, defecto, evidencia y decisión.</t>
  </si>
  <si>
    <t>2.06</t>
  </si>
  <si>
    <t>Acordar contingencia y recuperación</t>
  </si>
  <si>
    <t>Runbook de corte/retorno y conciliación documental</t>
  </si>
  <si>
    <t>2.02;2.03</t>
  </si>
  <si>
    <t>Antes del piloto</t>
  </si>
  <si>
    <t>Procedimiento practicable sin duplicar operaciones ni borrar historia.</t>
  </si>
  <si>
    <t>2.07</t>
  </si>
  <si>
    <t>Acordar cobertura y objetivos de soporte</t>
  </si>
  <si>
    <t>Acuerdo horario, prioridades y objetivos de atención</t>
  </si>
  <si>
    <t>MD</t>
  </si>
  <si>
    <t>DIARCO y Zeetrex validan ventanas, contactos y objetivos. No hay SLA implícito.</t>
  </si>
  <si>
    <t>2.08</t>
  </si>
  <si>
    <t>Preparar módulos productivos para paralelo 04/11</t>
  </si>
  <si>
    <t>Versión, ambiente, accesos y controles de efectos externos</t>
  </si>
  <si>
    <t>ZT</t>
  </si>
  <si>
    <t>2.02;2.03;2.05;2.06</t>
  </si>
  <si>
    <t>Objetivo 04/11</t>
  </si>
  <si>
    <t>Lista explícita de módulos habilitados. SGM válido. Emisor único y permisos de prueba controlados.</t>
  </si>
  <si>
    <t>2.09</t>
  </si>
  <si>
    <t>Ejecutar smoke de flujo de trabajo</t>
  </si>
  <si>
    <t>Evidencia de acceso, navegación, dato, cálculo y acuse del flujo mínimo</t>
  </si>
  <si>
    <t>Desde 04/11 antes de cada paralelo</t>
  </si>
  <si>
    <t>Flujo mínimo pasa sin duplicar efectos ni envíos. Si falla, no abrir ese circuito al paralelo.</t>
  </si>
  <si>
    <t>2.10</t>
  </si>
  <si>
    <t>Comparar OC valorizada Connexa vs DIARCO/SGM</t>
  </si>
  <si>
    <t>Matriz campo a campo, cálculo esperado y diferencias con causa</t>
  </si>
  <si>
    <t>2.09;3.05.04</t>
  </si>
  <si>
    <t>Desde 04/11, cada ciclo</t>
  </si>
  <si>
    <t>Identificadores vinculados, cantidades y componentes conciliados. Desvíos fuera de tolerancia bloquean aceptación.</t>
  </si>
  <si>
    <t>2.11</t>
  </si>
  <si>
    <t>Decidir aceptación progresiva del paralelo</t>
  </si>
  <si>
    <t>Acta por módulo/población/versión, pendientes y decisión de continuar</t>
  </si>
  <si>
    <t>Desde 04/11 al cumplir criterios</t>
  </si>
  <si>
    <t>Casos críticos y ciclos requeridos completos. Firmas/evidencias. No cambia autoridad SGM por sí sola.</t>
  </si>
  <si>
    <t>2.12</t>
  </si>
  <si>
    <t>Confirmar AP, Wi-Fi y PDA por sucursal piloto</t>
  </si>
  <si>
    <t>Inventario de equipos, red probada y responsable de disponibilidad</t>
  </si>
  <si>
    <t>1.05;2.03</t>
  </si>
  <si>
    <t>Antes del paralelo PDA</t>
  </si>
  <si>
    <t>Recepción con lectura y comunicación probadas. Contacto histórico Jorge Borjas a confirmar, proveedor e Infra coordinados.</t>
  </si>
  <si>
    <t>2.13</t>
  </si>
  <si>
    <t>Verificar devolución Valkimia y elegir API/Excel</t>
  </si>
  <si>
    <t>Contrato mínimo/plantilla validada, plazo y responsable externo</t>
  </si>
  <si>
    <t>1.04;2.02</t>
  </si>
  <si>
    <t>Antes del paralelo de distribución</t>
  </si>
  <si>
    <t>No se presume cumplido el compromiso 27/10. Alternativa elegida y prueba de ida/retorno con CD/VKM.</t>
  </si>
  <si>
    <t>2.14</t>
  </si>
  <si>
    <t>Validar OC madre, hija y aprobación única</t>
  </si>
  <si>
    <t>Caso PDA y política de vigencia/saldo con evidencia</t>
  </si>
  <si>
    <t>2.04;3.05.04;2.12</t>
  </si>
  <si>
    <t>Durante paralelo del circuito</t>
  </si>
  <si>
    <t>Cantidades, valorización y pendientes conciliados. Sin reaprobar en SGM ni duplicar documento.</t>
  </si>
  <si>
    <t>2.15</t>
  </si>
  <si>
    <t>Acreditar recuperación y cierre de movimientos en SGM</t>
  </si>
  <si>
    <t>Evidencia de autorización, procesamiento, remito y numeración</t>
  </si>
  <si>
    <t>2.03;2.05</t>
  </si>
  <si>
    <t>Antes del paralelo de recepción/ajustes</t>
  </si>
  <si>
    <t>Operaciones completas en SGM, no sólo registros en tabla. Bloqueos nominales y siguiente acción.</t>
  </si>
  <si>
    <t>2.16</t>
  </si>
  <si>
    <t>Certificar base y salida de inventario</t>
  </si>
  <si>
    <t>Stock inicial, movimientos pendientes, mapa/QR y aplicación en SGM</t>
  </si>
  <si>
    <t>2.04;2.12</t>
  </si>
  <si>
    <t>Antes del inventario piloto</t>
  </si>
  <si>
    <t>Fuente oficial y corte documentados. Diferencias no se atribuyen a merma sin revisar integridad de registros.</t>
  </si>
  <si>
    <t>2.17</t>
  </si>
  <si>
    <t>Confirmar sincronización y coordinación de cargas</t>
  </si>
  <si>
    <t>Evidencia de OC/transferencias/pendientes actualizados, sin pisar datos</t>
  </si>
  <si>
    <t>Antes del paralelo de cada consumidor</t>
  </si>
  <si>
    <t>Conectividad/túnel probado y secuencia de CDC/cargas acordada. Tener servidor disponible no acredita interfaz.</t>
  </si>
  <si>
    <t>2.18</t>
  </si>
  <si>
    <t>Validar categoría piloto y propuesta de surtido</t>
  </si>
  <si>
    <t>Simulación con Liliana y resolución de clasificaciones nulas</t>
  </si>
  <si>
    <t>3.02.02</t>
  </si>
  <si>
    <t>Antes de aceptar surtido de primera oleada</t>
  </si>
  <si>
    <t>Reglas y segmentos aprobados sobre datos reales. No imponer seis segmentos sin acuerdo.</t>
  </si>
  <si>
    <t>2.19</t>
  </si>
  <si>
    <t>Definir función Datos Maestros y separación de control</t>
  </si>
  <si>
    <t>RACI de solicitante/administrador/auditor/comercial y workflow de cambios</t>
  </si>
  <si>
    <t>Antes de originar maestros en Connexa</t>
  </si>
  <si>
    <t>Función operativa y control con personas/tiempo definidos. Auditoría no asume automáticamente administración cotidiana.</t>
  </si>
  <si>
    <t>3.01.01</t>
  </si>
  <si>
    <t>Preparar casos y datos del módulo</t>
  </si>
  <si>
    <t>Inventariar altas, cambios y bajas con casos reales y excepciones de DIARCO.</t>
  </si>
  <si>
    <t>2.04;2.05</t>
  </si>
  <si>
    <t>Preparar antes del paralelo de ese módulo</t>
  </si>
  <si>
    <t>Casos representativos con entrada, esperado y responsable de dato.</t>
  </si>
  <si>
    <t>3.01.02</t>
  </si>
  <si>
    <t>Validar reglas y configuración</t>
  </si>
  <si>
    <t>Conciliar una muestra acordada de artículos, EAN y proveedor contra la fuente autorizada.</t>
  </si>
  <si>
    <t>Reglas aprobadas, configuración versionada y diferencias clasificadas.</t>
  </si>
  <si>
    <t>3.01.03</t>
  </si>
  <si>
    <t>Formar titular y suplente</t>
  </si>
  <si>
    <t>Identificadores, unidad/bulto, estados, permisos, sentido de sincronización y prevención de duplicados.</t>
  </si>
  <si>
    <t>ZF</t>
  </si>
  <si>
    <t>Titular y suplente completan demostración y práctica individual.</t>
  </si>
  <si>
    <t>3.01.04</t>
  </si>
  <si>
    <t>Ejecutar UAT y excepciones</t>
  </si>
  <si>
    <t>Definir quién modifica cada dato y cuándo se replica a SGM.</t>
  </si>
  <si>
    <t>Casos críticos pasan. Defectos y evidencia por ejecución. Reprueba después de correcciones.</t>
  </si>
  <si>
    <t>3.01.05</t>
  </si>
  <si>
    <t>Aceptar UAT y preparación del módulo</t>
  </si>
  <si>
    <t>Muestra con identidad y campos críticos conciliados. Cambios autorizados auditables. Duplicados rechazados sin pérdida del dato válido.</t>
  </si>
  <si>
    <t>3.01.04;2.19</t>
  </si>
  <si>
    <t>Dueño acepta versión y evidencia. Sin defectos críticos/altos abiertos del circuito.</t>
  </si>
  <si>
    <t>3.01.06</t>
  </si>
  <si>
    <t>Ejecutar paralelo controlado y piloto</t>
  </si>
  <si>
    <t>Ejecutar alta/cambio/baja autorizados y validar su resultado en ambos extremos.</t>
  </si>
  <si>
    <t>3.01.05;2.06;2.07;2.09</t>
  </si>
  <si>
    <t>Desde 04/11, por módulo preparado</t>
  </si>
  <si>
    <t>Smoke aprobado. Ciclos y excepción acordados. DIARCO/SGM conserva validez. Comparación y diferencias documentadas.</t>
  </si>
  <si>
    <t>3.01.07</t>
  </si>
  <si>
    <t>Transferir a usuarios y L1</t>
  </si>
  <si>
    <t>Calidad y aprobación del dato de negocio, tratamiento de excepciones y guía interna de mantenimiento.</t>
  </si>
  <si>
    <t>Tras aceptación de módulo</t>
  </si>
  <si>
    <t>Usuarios demuestran tareas críticas. Mesa de ayuda y suplente resuelven un caso simulado.</t>
  </si>
  <si>
    <t>3.01.08</t>
  </si>
  <si>
    <t>Cerrar paquete y recomendar expansión</t>
  </si>
  <si>
    <t>Acta de módulo, pendientes y plan de oleada</t>
  </si>
  <si>
    <t>Evidencias completas, soporte habilitado y recomendación para G3.</t>
  </si>
  <si>
    <t>3.02.01</t>
  </si>
  <si>
    <t>Preparar matriz artículo/sucursal y excepciones de Mayorista/Barrio que negocio confirme.</t>
  </si>
  <si>
    <t>Validar pertenencia a cluster, segmento y vigencia.</t>
  </si>
  <si>
    <t>3.02.03</t>
  </si>
  <si>
    <t>Diferencias entre cluster, segmento y grupo de sucursales de compra. Herencia, vigencias y estados.</t>
  </si>
  <si>
    <t>3.02.04</t>
  </si>
  <si>
    <t>Probar habilitación y exclusión en los consumidores incluidos.</t>
  </si>
  <si>
    <t>3.02.05</t>
  </si>
  <si>
    <t>Los pares habilitados y excluidos producen exactamente el efecto acordado en cada consumidor incluido.</t>
  </si>
  <si>
    <t>3.02.04;2.18</t>
  </si>
  <si>
    <t>3.02.06</t>
  </si>
  <si>
    <t>Explicar el efecto de un cambio y acordar la aprobación de excepciones.</t>
  </si>
  <si>
    <t>3.02.05;2.06;2.07;2.09</t>
  </si>
  <si>
    <t>3.02.07</t>
  </si>
  <si>
    <t>Aprobación de reglas, resolución de conflictos de elegibilidad y comunicación a los operadores.</t>
  </si>
  <si>
    <t>3.02.08</t>
  </si>
  <si>
    <t>3.03.01</t>
  </si>
  <si>
    <t>Seleccionar proveedores piloto y listas reales con permisos de uso.</t>
  </si>
  <si>
    <t>2.04;2.05;3.01.02;3.02.02</t>
  </si>
  <si>
    <t>3.03.02</t>
  </si>
  <si>
    <t>Preparar ejemplos de descuentos, vigencias y condiciones por sitio/grupo.</t>
  </si>
  <si>
    <t>3.03.03</t>
  </si>
  <si>
    <t>Precio lista, neto OC y neto estadístico. Descuentos y reglas dentro/fuera de OC. Orden de aplicación y vigencia.</t>
  </si>
  <si>
    <t>3.03.04</t>
  </si>
  <si>
    <t>Construir con Zeetrex casos de cálculo esperados y aprobar su semántica.</t>
  </si>
  <si>
    <t>3.03.05</t>
  </si>
  <si>
    <t>Casos dorados reproducibles con impuestos y redondeos aprobados por las áreas competentes, sin doble aplicación de reglas.</t>
  </si>
  <si>
    <t>3.03.06</t>
  </si>
  <si>
    <t>Importar, corregir errores y validar la versión que consumen compras y OC.</t>
  </si>
  <si>
    <t>3.03.05;2.06;2.07;2.09</t>
  </si>
  <si>
    <t>3.03.07</t>
  </si>
  <si>
    <t>Veracidad de condiciones comerciales, autorización de versiones y conciliación de resultados.</t>
  </si>
  <si>
    <t>3.03.08</t>
  </si>
  <si>
    <t>3.04.01</t>
  </si>
  <si>
    <t>Acordar artículos, proveedores y sitios representativos de los modos de compra incluidos.</t>
  </si>
  <si>
    <t>2.04;2.05;3.03.02;3.10.02</t>
  </si>
  <si>
    <t>3.04.02</t>
  </si>
  <si>
    <t>Revisar demanda, stock, pendientes y parámetros usados por el sugerido.</t>
  </si>
  <si>
    <t>3.04.03</t>
  </si>
  <si>
    <t>Pronóstico, días de stock, unidades de compra, pendientes, trazabilidad y límites de aprobación.</t>
  </si>
  <si>
    <t>3.04.04</t>
  </si>
  <si>
    <t>Ejecutar una propuesta, justificar ajustes y enviarla al aprobador.</t>
  </si>
  <si>
    <t>3.04.05</t>
  </si>
  <si>
    <t>Propuesta reproducible para el corte elegido. Valores esperados aprobados y traspaso a OC sin perder ajustes o autorizaciones.</t>
  </si>
  <si>
    <t>3.04.06</t>
  </si>
  <si>
    <t>Comparar el resultado con casos reales y registrar diferencias con causa.</t>
  </si>
  <si>
    <t>3.04.05;2.06;2.07;2.09</t>
  </si>
  <si>
    <t>3.04.07</t>
  </si>
  <si>
    <t>Calidad de parámetros de negocio, revisión del sugerido y justificación de decisiones de compra.</t>
  </si>
  <si>
    <t>3.04.08</t>
  </si>
  <si>
    <t>3.05.01</t>
  </si>
  <si>
    <t>Definir roles y límites de generación, aprobación y anulación.</t>
  </si>
  <si>
    <t>2.04;2.05;3.03.02;3.04.04</t>
  </si>
  <si>
    <t>3.05.02</t>
  </si>
  <si>
    <t>Acordar quién comunica la OC al proveedor durante la convivencia.</t>
  </si>
  <si>
    <t>3.05.03</t>
  </si>
  <si>
    <t>Estados de OC, precio/impuestos, permisos, acuse técnico y funcional, reintento y contingencia.</t>
  </si>
  <si>
    <t>3.05.04</t>
  </si>
  <si>
    <t>Validar valorización con Compras e Impuestos y vinculación de identificadores.</t>
  </si>
  <si>
    <t>3.05.05</t>
  </si>
  <si>
    <t>Cada OC piloto tiene identificación cruzada, valores conciliados y resultado confirmado. Reintentar no duplica documento ni envío al proveedor.</t>
  </si>
  <si>
    <t>3.05.06</t>
  </si>
  <si>
    <t>Conciliar cabecera, líneas y estado en SGM y ensayar recuperación sin duplicar.</t>
  </si>
  <si>
    <t>3.05.05;2.06;2.07;2.09</t>
  </si>
  <si>
    <t>3.05.07</t>
  </si>
  <si>
    <t>Aceptación comercial de la OC, autorización del circuito y control de pendientes no conciliados.</t>
  </si>
  <si>
    <t>3.05.08</t>
  </si>
  <si>
    <t>3.06.01</t>
  </si>
  <si>
    <t>Mapear operación con PDA, diferencias y documentos pendientes.</t>
  </si>
  <si>
    <t>2.04;2.05;3.05.04;3.10.02</t>
  </si>
  <si>
    <t>3.06.02</t>
  </si>
  <si>
    <t>Probar una sucursal Mayorista y una Barrio si ambas participan del piloto.</t>
  </si>
  <si>
    <t>3.06.03</t>
  </si>
  <si>
    <t>OC/transferencia pendiente, unidad de recepción, recepción parcial y final, diferencias y contingencia.</t>
  </si>
  <si>
    <t>3.06.04</t>
  </si>
  <si>
    <t>Conciliar cantidades recibidas, pendientes y stock del sistema autorizado.</t>
  </si>
  <si>
    <t>3.06.05</t>
  </si>
  <si>
    <t>Recepción y saldo pendiente coinciden con evidencia física y con el sistema autorizado, sin doble impacto.</t>
  </si>
  <si>
    <t>3.06.06</t>
  </si>
  <si>
    <t>Ensayar caída de comunicación y recuperación con control de doble recepción.</t>
  </si>
  <si>
    <t>3.06.05;2.06;2.07;2.09;2.12;2.15;2.17</t>
  </si>
  <si>
    <t>3.06.07</t>
  </si>
  <si>
    <t>Corrección del registro físico, validación del documento y disciplina del circuito durante convivencia.</t>
  </si>
  <si>
    <t>3.06.08</t>
  </si>
  <si>
    <t>3.07.01</t>
  </si>
  <si>
    <t>Definir mapa, muestra de conteo, corte y responsables de recuento.</t>
  </si>
  <si>
    <t>2.04;2.05;3.10.02</t>
  </si>
  <si>
    <t>3.07.02</t>
  </si>
  <si>
    <t>Preparar artículos con cantidad conocida y casos de diferencia.</t>
  </si>
  <si>
    <t>3.07.03</t>
  </si>
  <si>
    <t>Foto de stock, corte, conteo/recuento, diferencias, aprobación y trazabilidad de ajuste.</t>
  </si>
  <si>
    <t>3.07.04</t>
  </si>
  <si>
    <t>Ejecutar conteo, recuento y aprobación con segregación.</t>
  </si>
  <si>
    <t>3.07.05</t>
  </si>
  <si>
    <t>Conteo, diferencia y ajuste mantienen trazabilidad. El ajuste ocurre una sola vez y sólo con autorización válida.</t>
  </si>
  <si>
    <t>3.07.06</t>
  </si>
  <si>
    <t>Conciliar el ajuste aplicado y conservar evidencia previa y posterior.</t>
  </si>
  <si>
    <t>3.07.05;2.06;2.07;2.09;2.16</t>
  </si>
  <si>
    <t>3.07.07</t>
  </si>
  <si>
    <t>Veracidad del conteo, autorización de diferencias y conservación de evidencia de auditoría.</t>
  </si>
  <si>
    <t>3.07.08</t>
  </si>
  <si>
    <t>3.08.01</t>
  </si>
  <si>
    <t>Confirmar la población de PDD de la primera oleada y su interfaz/consumidor, bajo la Estrategia B1.</t>
  </si>
  <si>
    <t>2.04;2.05;3.02.02;3.10.02</t>
  </si>
  <si>
    <t>3.08.02</t>
  </si>
  <si>
    <t>Revalidar cobertura Inventory y resolver excepciones con su dueño.</t>
  </si>
  <si>
    <t>3.08.03</t>
  </si>
  <si>
    <t>Necesidad frente a orden/reserva/viaje, stock neto, PDVB, cobertura, exclusiones y saldo del backlog.</t>
  </si>
  <si>
    <t>3.08.04</t>
  </si>
  <si>
    <t>Probar necesidades dirigidas aprobadas y cálculo diario con evidencia.</t>
  </si>
  <si>
    <t>3.08.05</t>
  </si>
  <si>
    <t>Se cumplen controles vigentes de cobertura y casos dorados. Backlog trazable sin atribuir a PDD funciones de transporte excluidas.</t>
  </si>
  <si>
    <t>3.08.06</t>
  </si>
  <si>
    <t>Conciliar consumo y retorno del sistema logístico sólo bajo contrato confirmado.</t>
  </si>
  <si>
    <t>3.08.05;2.06;2.07;2.09</t>
  </si>
  <si>
    <t>3.08.07</t>
  </si>
  <si>
    <t>Prioridades de negocio, validación del backlog y decisión sobre excepciones de cobertura.</t>
  </si>
  <si>
    <t>3.08.08</t>
  </si>
  <si>
    <t>3.09.01</t>
  </si>
  <si>
    <t>Validar con negocio transferencias, acopios, campañas y límites de cada circuito.</t>
  </si>
  <si>
    <t>2.04;2.05;3.08.04;3.02.02</t>
  </si>
  <si>
    <t>3.09.02</t>
  </si>
  <si>
    <t>Acordar con Valkimia/CD interfaz o alternativa Excel, responsables y acuses.</t>
  </si>
  <si>
    <t>3.09.03</t>
  </si>
  <si>
    <t>Necesidad, transferencia, viaje y movimiento son objetos distintos. Exportación/importación, acuse y estado oficial durante convivencia.</t>
  </si>
  <si>
    <t>3.09.04</t>
  </si>
  <si>
    <t>Ejecutar una transferencia de extremo a extremo con identificadores y cantidades conciliados.</t>
  </si>
  <si>
    <t>3.09.05</t>
  </si>
  <si>
    <t>El intercambio elegido está validado por Valkimia/CD. Cantidades y documentos concilian en el circuito aprobado, sin atribuir a PDD funciones TMS.</t>
  </si>
  <si>
    <t>3.09.06</t>
  </si>
  <si>
    <t>Probar retorno parcial, excepción y recuperación sin duplicar movimientos.</t>
  </si>
  <si>
    <t>3.09.05;2.06;2.07;2.09;2.13</t>
  </si>
  <si>
    <t>3.09.07</t>
  </si>
  <si>
    <t>Validación de prioridades, contenido de transferencias y conciliación funcional con CD y Valkimia.</t>
  </si>
  <si>
    <t>3.09.08</t>
  </si>
  <si>
    <t>3.10.01</t>
  </si>
  <si>
    <t>Identificar fuentes oficiales, cortes, responsables y controles por interfaz.</t>
  </si>
  <si>
    <t>3.10.02</t>
  </si>
  <si>
    <t>Acordar latencias admisibles, alertas y conciliaciones por ciclo.</t>
  </si>
  <si>
    <t>3.10.03</t>
  </si>
  <si>
    <t>Stock oficial frente a proyecciones, cortes, correlación, conciliación y límites del reproceso.</t>
  </si>
  <si>
    <t>3.10.04</t>
  </si>
  <si>
    <t>Verificar una operación y su impacto de extremo a extremo con datos de SGM.</t>
  </si>
  <si>
    <t>3.10.05</t>
  </si>
  <si>
    <t>Cada interfaz crítica tiene control, dueño y alerta probada. Stock/pendientes concilian bajo cortes acordados y autoridad SGM.</t>
  </si>
  <si>
    <t>3.10.06</t>
  </si>
  <si>
    <t>Simular alerta, abrir ticket, recuperar y verificar saldos/documentos.</t>
  </si>
  <si>
    <t>3.10.05;2.06;2.07;2.09</t>
  </si>
  <si>
    <t>3.10.07</t>
  </si>
  <si>
    <t>Control de diferencias y decisión de negocio sobre saldos. IT asume monitoreo y recuperación técnica.</t>
  </si>
  <si>
    <t>3.10.08</t>
  </si>
  <si>
    <t>4.01</t>
  </si>
  <si>
    <t>Consolidar UAT y G1</t>
  </si>
  <si>
    <t>Actas de módulos incluidos en piloto</t>
  </si>
  <si>
    <t>3.01.05;3.02.05;3.03.05;3.04.05;3.05.05;3.06.05;3.07.05;3.08.05;3.09.05;3.10.05</t>
  </si>
  <si>
    <t>Sólo se exigen módulos seleccionados. Excluidos requieren decisión de alcance, nunca aprobación ficticia.</t>
  </si>
  <si>
    <t>4.02</t>
  </si>
  <si>
    <t>Validar resultado piloto y G2</t>
  </si>
  <si>
    <t>Informe de ciclos, incidencias y conciliación</t>
  </si>
  <si>
    <t>4.01;2.06;2.07</t>
  </si>
  <si>
    <t>Después del piloto</t>
  </si>
  <si>
    <t>Criterios G2 cumplidos para el alcance seleccionado. Dependencias de módulos aplicables completas.</t>
  </si>
  <si>
    <t>4.03</t>
  </si>
  <si>
    <t>Autorizar y ejecutar oleada G3</t>
  </si>
  <si>
    <t>Acta go/no-go y bitácora de corte</t>
  </si>
  <si>
    <t>Fecha condicionada a gates</t>
  </si>
  <si>
    <t>Dueños aceptan operación, IT confirma contingencia y sponsor autoriza la oleada.</t>
  </si>
  <si>
    <t>4.04</t>
  </si>
  <si>
    <t>Medir adopción y estabilizar</t>
  </si>
  <si>
    <t>Tablero por módulo/rol/sitio y pendientes</t>
  </si>
  <si>
    <t>Hypercare</t>
  </si>
  <si>
    <t>Ciclos previstos ejecutados y tickets seguidos. Se investiga toda operación fuera del circuito acordado.</t>
  </si>
  <si>
    <t>4.05</t>
  </si>
  <si>
    <t>Aceptar transferencia G4</t>
  </si>
  <si>
    <t>Acta de operación DIARCO y cobertura L1/L2</t>
  </si>
  <si>
    <t>Salida de hypercare</t>
  </si>
  <si>
    <t>Cinco días operativos estables propuestos y evidencia de autonomía de titular/suplente.</t>
  </si>
  <si>
    <t>5.01</t>
  </si>
  <si>
    <t>Cerrar y aprender</t>
  </si>
  <si>
    <t>Informe esfuerzo real, resultados y desvíos</t>
  </si>
  <si>
    <t>Cierre</t>
  </si>
  <si>
    <t>Desvíos clasificados y cada pendiente tiene dueño, fecha y bloque destino.</t>
  </si>
  <si>
    <t>5.02</t>
  </si>
  <si>
    <t>Preparar mejora de metodología</t>
  </si>
  <si>
    <t>Plantillas sin datos de cliente y propuesta de revisión</t>
  </si>
  <si>
    <t>Después del cierre</t>
  </si>
  <si>
    <t>Aprendizajes anonimizados. Publicación normativa sólo por propietario del estándar.</t>
  </si>
  <si>
    <t>Responsabilidades por actividad</t>
  </si>
  <si>
    <t>Un solo A por fila. DP/RF corresponden al módulo. Nombres y facultades deben confirmarse.</t>
  </si>
  <si>
    <t>US</t>
  </si>
  <si>
    <t>EXT</t>
  </si>
  <si>
    <t>RC01</t>
  </si>
  <si>
    <t>Asignar personas y tiempo DIARCO</t>
  </si>
  <si>
    <t>C</t>
  </si>
  <si>
    <t>RC02</t>
  </si>
  <si>
    <t>Aprobar baseline de alcance B1</t>
  </si>
  <si>
    <t>I</t>
  </si>
  <si>
    <t>RC03</t>
  </si>
  <si>
    <t>Definir reglas y datos esperados del módulo</t>
  </si>
  <si>
    <t>RC04</t>
  </si>
  <si>
    <t>Configurar y entregar versión para prueba</t>
  </si>
  <si>
    <t>RC05</t>
  </si>
  <si>
    <t>Habilitar accesos y entorno DIARCO</t>
  </si>
  <si>
    <t>A/R</t>
  </si>
  <si>
    <t>RC06</t>
  </si>
  <si>
    <t>Certificar datos de negocio</t>
  </si>
  <si>
    <t>RC07</t>
  </si>
  <si>
    <t>Preparar material y formar referentes</t>
  </si>
  <si>
    <t>RC08</t>
  </si>
  <si>
    <t>Validar competencia de referentes</t>
  </si>
  <si>
    <t>RC09</t>
  </si>
  <si>
    <t>Ejecutar UAT y aceptar módulo</t>
  </si>
  <si>
    <t>RC10</t>
  </si>
  <si>
    <t>Corregir defecto de producto</t>
  </si>
  <si>
    <t>RC11</t>
  </si>
  <si>
    <t>Ejecutar piloto funcional</t>
  </si>
  <si>
    <t>RC12</t>
  </si>
  <si>
    <t>Autorizar salida de oleada</t>
  </si>
  <si>
    <t>RC13</t>
  </si>
  <si>
    <t>Ejecutar corte técnico coordinado</t>
  </si>
  <si>
    <t>RC14</t>
  </si>
  <si>
    <t>Decidir contingencia o retorno</t>
  </si>
  <si>
    <t>RC15</t>
  </si>
  <si>
    <t>Registrar y seguir ticket L1</t>
  </si>
  <si>
    <t>RC16</t>
  </si>
  <si>
    <t>Resolver consulta funcional L1</t>
  </si>
  <si>
    <t>RC17</t>
  </si>
  <si>
    <t>Resolver incidente de infraestructura DIARCO</t>
  </si>
  <si>
    <t>RC18</t>
  </si>
  <si>
    <t>Resolver incidente producto L2</t>
  </si>
  <si>
    <t>RC19</t>
  </si>
  <si>
    <t>Capacitar resto de usuarios DIARCO</t>
  </si>
  <si>
    <t>RC20</t>
  </si>
  <si>
    <t>Aceptar operación y cierre</t>
  </si>
  <si>
    <t>RC21</t>
  </si>
  <si>
    <t>Consolidar aprendizajes reutilizables</t>
  </si>
  <si>
    <t>GAPS y decisiones de alcance</t>
  </si>
  <si>
    <t>Clasificación inicial basada en antecedentes. Decisión final y evidencia a completar.</t>
  </si>
  <si>
    <t>GAP</t>
  </si>
  <si>
    <t>Capacidad / pedido</t>
  </si>
  <si>
    <t>Clasificación documentada</t>
  </si>
  <si>
    <t>Condición / detalle pendiente</t>
  </si>
  <si>
    <t>Fuentes</t>
  </si>
  <si>
    <t>Decisión final</t>
  </si>
  <si>
    <t>Dueño de decisión</t>
  </si>
  <si>
    <t>Fecha</t>
  </si>
  <si>
    <t>Motivo / impacto</t>
  </si>
  <si>
    <t>GAP-01</t>
  </si>
  <si>
    <t>Reglas y descuentos en listas por sitio/grupo</t>
  </si>
  <si>
    <t>Pendiente</t>
  </si>
  <si>
    <t>Semántica y casos dorados</t>
  </si>
  <si>
    <t>S06</t>
  </si>
  <si>
    <t>GAP-02</t>
  </si>
  <si>
    <t>Aprobación automática por días de stock/monto</t>
  </si>
  <si>
    <t>Umbral, autoridad y excepciones sin cerrar</t>
  </si>
  <si>
    <t>GAP-03</t>
  </si>
  <si>
    <t>OC madre e hijas desde recepción</t>
  </si>
  <si>
    <t>B1 documentado, reglas por cerrar</t>
  </si>
  <si>
    <t>S16 documenta validación OC madre/PDA. Confirmar vigencia/cambio de lista y saldo antes de aceptarla.</t>
  </si>
  <si>
    <t>S06; S16</t>
  </si>
  <si>
    <t>GAP-04</t>
  </si>
  <si>
    <t>Redespacho y retorno de Valkimia</t>
  </si>
  <si>
    <t>B1 documentado, contrato pendiente</t>
  </si>
  <si>
    <t>Redespacho prioritario documentado. Verificar devolución VKM comprometida 27/10 y distinguir preparado/despachado/no preparado.</t>
  </si>
  <si>
    <t>S06; S07; S16; S17</t>
  </si>
  <si>
    <t>GAP-05</t>
  </si>
  <si>
    <t>Optimización avanzada TMS/cubicaje/camiones</t>
  </si>
  <si>
    <t>B2 propuesto</t>
  </si>
  <si>
    <t>La planificación básica de transferencias es B1 (M09). Optimización avanzada no se agrega a PDD.</t>
  </si>
  <si>
    <t>S06; S07</t>
  </si>
  <si>
    <t>GAP-06</t>
  </si>
  <si>
    <t>B1 detalle pendiente</t>
  </si>
  <si>
    <t>Revalidar ambiente/cobertura actual. No usar la foto del 29/10 como gate futuro.</t>
  </si>
  <si>
    <t>S08</t>
  </si>
  <si>
    <t>GAP-07</t>
  </si>
  <si>
    <t>Precio de venta, márgenes y costos avanzados</t>
  </si>
  <si>
    <t>B2 según Estrategia</t>
  </si>
  <si>
    <t>Consolidación posterior: kardex, valorización y precios de venta. No confundir con lista de compra.</t>
  </si>
  <si>
    <t>S04; S05</t>
  </si>
  <si>
    <t>GAP-08</t>
  </si>
  <si>
    <t>Confirmar etapa, pilotos y autoridad de stock/pendientes</t>
  </si>
  <si>
    <t>S05; S06</t>
  </si>
  <si>
    <t>GAP-09</t>
  </si>
  <si>
    <t>Productos hermanos y sustitutos</t>
  </si>
  <si>
    <t>Definir resultado observable, consumidor y bloque</t>
  </si>
  <si>
    <t>GAP-10</t>
  </si>
  <si>
    <t>Migración QX y reposición automática</t>
  </si>
  <si>
    <t>B2 según Pendientes, ratificar</t>
  </si>
  <si>
    <t>No confundir uso del sugerido en B1 con cambio del motor/reposición automática legado.</t>
  </si>
  <si>
    <t>S26</t>
  </si>
  <si>
    <t>GAP-11</t>
  </si>
  <si>
    <t>Recuperación integral posterior al incidente</t>
  </si>
  <si>
    <t>B1 prerrequisito</t>
  </si>
  <si>
    <t>Obtener evidencia de cierre de los compromisos 26–27/10. Autorización, remitos y numeración SGM.</t>
  </si>
  <si>
    <t>S19; S20; S27</t>
  </si>
  <si>
    <t>GAP-12</t>
  </si>
  <si>
    <t>Confiabilidad del stock inicial</t>
  </si>
  <si>
    <t>Regularizar movimientos antes de interpretar diferencias. Autoridad SGM no equivale a saldo ya conciliado.</t>
  </si>
  <si>
    <t>S19; S27</t>
  </si>
  <si>
    <t>GAP-13</t>
  </si>
  <si>
    <t>Modelo final clusters/segmentos</t>
  </si>
  <si>
    <t>Simular categoría real con Liliana. Seis segmentos no son decisión definitiva.</t>
  </si>
  <si>
    <t>S28</t>
  </si>
  <si>
    <t>Pruebas de aceptación y smoke</t>
  </si>
  <si>
    <t>Acordar esperado antes de ejecutar. Reprueba: nueva fila con ID propio, conservando la ejecución anterior.</t>
  </si>
  <si>
    <t>Caso / ejecución</t>
  </si>
  <si>
    <t>Escenario</t>
  </si>
  <si>
    <t>Criticidad</t>
  </si>
  <si>
    <t>Precondiciones / dataset</t>
  </si>
  <si>
    <t>Pasos</t>
  </si>
  <si>
    <t>Resultado esperado a aprobar</t>
  </si>
  <si>
    <t>R ejecuta</t>
  </si>
  <si>
    <t>A acepta</t>
  </si>
  <si>
    <t>Versión</t>
  </si>
  <si>
    <t>Ambiente</t>
  </si>
  <si>
    <t>Dataset / corte</t>
  </si>
  <si>
    <t>Ejecutado por</t>
  </si>
  <si>
    <t>Fecha ejecución</t>
  </si>
  <si>
    <t>Resultado real</t>
  </si>
  <si>
    <t>Defecto</t>
  </si>
  <si>
    <t>Dictamen</t>
  </si>
  <si>
    <t>Estado ejecución</t>
  </si>
  <si>
    <t>Control de evidencia</t>
  </si>
  <si>
    <t>Esperado aprobado por</t>
  </si>
  <si>
    <t>Fecha validación esperado</t>
  </si>
  <si>
    <t>UAT-M01-1</t>
  </si>
  <si>
    <t>Alta y cambio autorizados</t>
  </si>
  <si>
    <t>Crítica</t>
  </si>
  <si>
    <t>Artículo de prueba con EAN y proveedor válidos</t>
  </si>
  <si>
    <t>Crear, modificar y consultar en destino</t>
  </si>
  <si>
    <t>Un solo artículo. Campos críticos y vínculo de sincronización coinciden con el resultado esperado.</t>
  </si>
  <si>
    <t>No ejecutado</t>
  </si>
  <si>
    <t>UAT-M01-2</t>
  </si>
  <si>
    <t>Identificador duplicado</t>
  </si>
  <si>
    <t>EAN ya asignado a otro artículo</t>
  </si>
  <si>
    <t>Intentar una nueva alta con ese EAN</t>
  </si>
  <si>
    <t>Rechazo o tratamiento definido por el contrato, sin duplicar ni sobrescribir el artículo válido.</t>
  </si>
  <si>
    <t>UAT-M02-1</t>
  </si>
  <si>
    <t>Par habilitado y excluido</t>
  </si>
  <si>
    <t>Dos pares con distinta elegibilidad y regla vigente</t>
  </si>
  <si>
    <t>Consultar y ejecutar el consumidor aprobado para ambos</t>
  </si>
  <si>
    <t>El habilitado participa. El excluido no genera operaciones nuevas incompatibles. Motivo trazable.</t>
  </si>
  <si>
    <t>UAT-M02-2</t>
  </si>
  <si>
    <t>Cambio de vigencia</t>
  </si>
  <si>
    <t>Regla actual y cambio con vigencia futura</t>
  </si>
  <si>
    <t>Consultar antes y después del corte en TEST</t>
  </si>
  <si>
    <t>Cada fecha usa la versión esperada. El cambio no altera documentos históricos.</t>
  </si>
  <si>
    <t>UAT-M03-1</t>
  </si>
  <si>
    <t>Lista por proveedor y sucursal</t>
  </si>
  <si>
    <t>Lista general y específica vigente con valores esperados aprobados</t>
  </si>
  <si>
    <t>Importar y resolver el precio para dos sitios</t>
  </si>
  <si>
    <t>Se elige la lista correspondiente. Neto OC y estadístico se explican por componentes y versión.</t>
  </si>
  <si>
    <t>UAT-M03-2</t>
  </si>
  <si>
    <t>Importación inválida</t>
  </si>
  <si>
    <t>Archivo con artículo inexistente y descuento mal formado</t>
  </si>
  <si>
    <t>Importar y corregir el archivo</t>
  </si>
  <si>
    <t>Se identifican las filas rechazadas. No se publica una versión parcial sin el tratamiento explícitamente aprobado.</t>
  </si>
  <si>
    <t>UAT-M04-1</t>
  </si>
  <si>
    <t>Propuesta explicable</t>
  </si>
  <si>
    <t>Corte con demanda, stock y lista certificados</t>
  </si>
  <si>
    <t>Generar, revisar un artículo y ajustar con motivo</t>
  </si>
  <si>
    <t>Se identifican entradas y versión. El ajuste conserva autor y motivo. La aprobación respeta la política acordada.</t>
  </si>
  <si>
    <t>UAT-M04-2</t>
  </si>
  <si>
    <t>Entrada crítica ausente</t>
  </si>
  <si>
    <t>Par de prueba sin un parámetro necesario</t>
  </si>
  <si>
    <t>Generar propuesta y consultar la excepción</t>
  </si>
  <si>
    <t>Se bloquea o excluye según política explícita aprobada. Nunca se presenta un resultado incompleto como válido.</t>
  </si>
  <si>
    <t>UAT-M05-1</t>
  </si>
  <si>
    <t>OC aprobada a SGM</t>
  </si>
  <si>
    <t>Comprador/aprobador distintos y OC con cálculo esperado</t>
  </si>
  <si>
    <t>Generar, aprobar, transmitir y conciliar</t>
  </si>
  <si>
    <t>Cabecera y líneas coinciden con la versión aprobada. Identificadores vinculados y acuse funcional registrado. SGM no requiere segunda autorización de una OC aprobada en Connexa.</t>
  </si>
  <si>
    <t>UAT-M05-2</t>
  </si>
  <si>
    <t>Reintento de integración</t>
  </si>
  <si>
    <t>OC ya transmitida con acuse perdido en entorno de prueba</t>
  </si>
  <si>
    <t>Repetir por procedimiento autorizado y consultar destino</t>
  </si>
  <si>
    <t>Se recupera el estado de una única OC. No hay doble documento ni doble comunicación al proveedor.</t>
  </si>
  <si>
    <t>UAT-M06-1</t>
  </si>
  <si>
    <t>Recepción parcial y diferencia</t>
  </si>
  <si>
    <t>Documento conocido y cantidades físicas certificadas</t>
  </si>
  <si>
    <t>Recibir parte, registrar diferencia y conciliar</t>
  </si>
  <si>
    <t>Se registra lo efectivamente recibido y el motivo. Pendiente e impacto se corresponden con el contrato aprobado.</t>
  </si>
  <si>
    <t>UAT-M06-2</t>
  </si>
  <si>
    <t>Falla y recuperación PDA</t>
  </si>
  <si>
    <t>Recepción preparada y comunicación interrumpida en TEST</t>
  </si>
  <si>
    <t>Recuperar comunicación y seguir el runbook</t>
  </si>
  <si>
    <t>Una sola recepción efectiva. Operador identifica estado, pendiente y acción autorizada.</t>
  </si>
  <si>
    <t>UAT-M07-1</t>
  </si>
  <si>
    <t>Conteo y ajuste autorizado</t>
  </si>
  <si>
    <t>Stock inicial, conteo independiente y roles segregados</t>
  </si>
  <si>
    <t>Contar, recontar, aprobar e integrar el ajuste</t>
  </si>
  <si>
    <t>La diferencia coincide con el esperado. Un único ajuste deja autor, aprobador y estados antes/después.</t>
  </si>
  <si>
    <t>UAT-M07-2</t>
  </si>
  <si>
    <t>Permiso de ajuste</t>
  </si>
  <si>
    <t>Usuario de conteo sin facultad de aprobación</t>
  </si>
  <si>
    <t>Intentar aprobar su ajuste fuera de los permisos</t>
  </si>
  <si>
    <t>La acción se rechaza y audita. Ningún saldo cambia por el intento.</t>
  </si>
  <si>
    <t>UAT-M08-1</t>
  </si>
  <si>
    <t>Cobertura Inventory</t>
  </si>
  <si>
    <t>Scope y políticas leídos nuevamente en ambiente de prueba</t>
  </si>
  <si>
    <t>Ejecutar preflight y verificar casos incompletos</t>
  </si>
  <si>
    <t>Estado y exclusiones concuerdan con controles vigentes. Se conserva evidencia y dueño de corrección.</t>
  </si>
  <si>
    <t>UAT-M08-2</t>
  </si>
  <si>
    <t>Necesidad dirigida y backlog</t>
  </si>
  <si>
    <t>Par válido y necesidad E/C/A aprobada de prueba</t>
  </si>
  <si>
    <t>Ejecutar flujo incluido y revisar snapshot/backlog</t>
  </si>
  <si>
    <t>La necesidad conserva aprobación, prioridad y trazabilidad. No se crea una reserva o viaje por inferencia.</t>
  </si>
  <si>
    <t>UAT-M09-1</t>
  </si>
  <si>
    <t>Transferencia a Valkimia/SGM</t>
  </si>
  <si>
    <t>Contrato mínimo o formato Excel validado por las contrapartes</t>
  </si>
  <si>
    <t>Generar, exportar/transmitir, confirmar y conciliar</t>
  </si>
  <si>
    <t>Identificadores, cantidades y estados coherentes. Evidencia de aceptación de destino.</t>
  </si>
  <si>
    <t>UAT-M09-2</t>
  </si>
  <si>
    <t>Retorno parcial y reintento</t>
  </si>
  <si>
    <t>Documento de prueba con despacho parcial y esperado acordado</t>
  </si>
  <si>
    <t>Recibir retorno, consultar saldo y repetir por procedimiento</t>
  </si>
  <si>
    <t>Saldo y pendiente coinciden. No se duplica movimiento ni se presume redespacho sin contrato.</t>
  </si>
  <si>
    <t>UAT-M10-1</t>
  </si>
  <si>
    <t>Conciliación de stock y pendiente</t>
  </si>
  <si>
    <t>Foto SGM certificada y movimiento de prueba trazable</t>
  </si>
  <si>
    <t>Comparar origen, destino, corte y resultado</t>
  </si>
  <si>
    <t>Diferencias identificadas por causa. Se conserva SGM como autoridad durante etapa 1.</t>
  </si>
  <si>
    <t>UAT-M10-2</t>
  </si>
  <si>
    <t>Alerta y recuperación</t>
  </si>
  <si>
    <t>Falla controlada y canal de atención habilitado</t>
  </si>
  <si>
    <t>Detectar, clasificar, recuperar y conciliar</t>
  </si>
  <si>
    <t>Responsables reciben y atienden la alerta. Recuperación confirma documentos y saldos antes de reanudar.</t>
  </si>
  <si>
    <t>UAT-E2E-01</t>
  </si>
  <si>
    <t>Catálogo a OC conciliada</t>
  </si>
  <si>
    <t>Módulos M01 a M05 incluidos, datos certificados y esperado aprobado</t>
  </si>
  <si>
    <t>Aplicar dato, surtido, lista, propuesta y OC. Aprobar y verificar SGM</t>
  </si>
  <si>
    <t>Identidad, elegibilidad, cantidad y valor coherentes de extremo a extremo. Una única OC vinculada.</t>
  </si>
  <si>
    <t>UAT-E2E-02</t>
  </si>
  <si>
    <t>Contingencia y recuperación</t>
  </si>
  <si>
    <t>Punto de interrupción controlado en TEST, autorización de IT y esperado</t>
  </si>
  <si>
    <t>Interrumpir interfaz, abrir ticket, recuperar y conciliar documentos en vuelo</t>
  </si>
  <si>
    <t>No hay pérdida ni duplicación. Saldo y documentos conciliados antes de reanudar.</t>
  </si>
  <si>
    <t>UAT-SEG-01</t>
  </si>
  <si>
    <t>Permisos y segregación</t>
  </si>
  <si>
    <t>Matriz de permisos aprobada, usuario autorizado y usuario sin facultad</t>
  </si>
  <si>
    <t>Ejecutar alta/aprobación con ambos usuarios en el circuito incluido</t>
  </si>
  <si>
    <t>Sólo el autorizado puede actuar. Intentos indebidos se rechazan y auditan.</t>
  </si>
  <si>
    <t>UAT-SOP-01</t>
  </si>
  <si>
    <t>Simulacro de soporte</t>
  </si>
  <si>
    <t>Mesa de ayuda, IT, referente y L2 identificados con horario acordado</t>
  </si>
  <si>
    <t>Registrar problema, clasificar, derivar, comunicar y confirmar solución</t>
  </si>
  <si>
    <t>Ticket conserva dueño, tiempos y evidencia. Usuario confirma recuperación y actualización de FAQ.</t>
  </si>
  <si>
    <t>SMK-01</t>
  </si>
  <si>
    <t>Smoke de flujo productivo controlado</t>
  </si>
  <si>
    <t>Módulo incluido, versión y usuarios habilitados, control de efectos externos</t>
  </si>
  <si>
    <t>Ingresar con rol, consultar dato vigente, recorrer flujo mínimo, calcular/guardar y verificar estado/acuse autorizado</t>
  </si>
  <si>
    <t>Flujo mínimo operativo y trazable. No duplica documentos ni comunica al proveedor desde dos sistemas. No equivale a UAT completo.</t>
  </si>
  <si>
    <t>UAT-OC-PAR-01</t>
  </si>
  <si>
    <t>OC valorizada en Connexa y DIARCO/SGM</t>
  </si>
  <si>
    <t>Misma OC vinculada, corte/lista/versiones y cálculo independiente aprobados</t>
  </si>
  <si>
    <t>Comparar cabecera y cada línea: unidad, cantidad, precio, descuentos, internos, IVA, redondeos y total</t>
  </si>
  <si>
    <t>Diferencia por campo registrada. Cumple tolerancias aprobadas. DIARCO/SGM sigue válido durante paralelo.</t>
  </si>
  <si>
    <t>UAT-OC-PAR-02</t>
  </si>
  <si>
    <t>Diferencia de valorización fuera de tolerancia</t>
  </si>
  <si>
    <t>OC de prueba con desvío controlado, sin efecto sobre proveedor</t>
  </si>
  <si>
    <t>Comparar, registrar causa/dueño, corregir configuración o dato y repetir</t>
  </si>
  <si>
    <t>No se acepta el módulo por coincidencia parcial o por totales compensados. No se sobreescribe la información oficial para hacer coincidir resultados.</t>
  </si>
  <si>
    <t>UAT-M05-3</t>
  </si>
  <si>
    <t>OC madre e hija por PDA</t>
  </si>
  <si>
    <t>Madre y esperado de saldo/vigencia aprobados. Recepción y usuario autorizados</t>
  </si>
  <si>
    <t>Recibir parcialmente, generar hija, conciliar saldo y probar sobre-recepción</t>
  </si>
  <si>
    <t>Hija ligada a madre por cantidad recibida. Saldo consume una vez. Exceso bloqueado. Sin duplicar recepción.</t>
  </si>
  <si>
    <t>UAT-M09-3</t>
  </si>
  <si>
    <t>Redespacho prioritario sin doble preparación</t>
  </si>
  <si>
    <t>Contrato VKM acordado para preparado/despachado/no preparado</t>
  </si>
  <si>
    <t>Procesar retorno parcial y validar el pendiente/redespacho</t>
  </si>
  <si>
    <t>La mercadería preparada no despachada conserva identidad y prioridad definida. No se vuelve a preparar por duplicación.</t>
  </si>
  <si>
    <t>UAT-M05-4</t>
  </si>
  <si>
    <t>Recepciones simultáneas contra OC madre</t>
  </si>
  <si>
    <t>Madre con saldo limitado y dos sucursales/operadores de prueba</t>
  </si>
  <si>
    <t>Intentar consumos simultáneos cuya suma supera saldo</t>
  </si>
  <si>
    <t>Nunca se excede cantidad autorizada. Ganador/rechazo son trazables y reintentar no duplica consumo.</t>
  </si>
  <si>
    <t>UAT-M06-3</t>
  </si>
  <si>
    <t>Devolución/decomiso con autorización y remito SGM</t>
  </si>
  <si>
    <t>Documento, causa, permisos y esperado aprobados</t>
  </si>
  <si>
    <t>Registrar, autorizar, sincronizar y consultar procesamiento final SGM</t>
  </si>
  <si>
    <t>Movimiento, remito y numeración completos una sola vez. Una fila en staging no se acepta como cierre.</t>
  </si>
  <si>
    <t>UAT-M07-3</t>
  </si>
  <si>
    <t>Foto inicial y salida de inventario</t>
  </si>
  <si>
    <t>Movimientos pendientes regularizados, mapa/QR y stock SGM de corte</t>
  </si>
  <si>
    <t>Cargar base, contar con PDA, cerrar, exportar y aplicar según procedimiento</t>
  </si>
  <si>
    <t>Correspondencia de artículo/ubicación y diferencia explicable. Aplicación en SGM validada por rol autorizado.</t>
  </si>
  <si>
    <t>UAT-M10-3</t>
  </si>
  <si>
    <t>OC/transferencias actualizadas tras reconexión</t>
  </si>
  <si>
    <t>Sincronización habilitada con ventana y latencia acordadas</t>
  </si>
  <si>
    <t>Cambiar documento de prueba, observar destino y ejecutar carga periódica controlada</t>
  </si>
  <si>
    <t>Destino se actualiza dentro del acuerdo. Carga posterior no pisa estado válido ni reabre pendientes cerrados.</t>
  </si>
  <si>
    <t>Comparación de OC valorizada</t>
  </si>
  <si>
    <t>Duplicar el bloque por OC y línea. El total no compensa diferencias de detalle. DIARCO/SGM mantiene validez en paralelo.</t>
  </si>
  <si>
    <t>OC / ejecución</t>
  </si>
  <si>
    <t>Línea / campo</t>
  </si>
  <si>
    <t>Connexa</t>
  </si>
  <si>
    <t>DIARCO / SGM (válido)</t>
  </si>
  <si>
    <t>Esperado independiente</t>
  </si>
  <si>
    <t>Tolerancia acordada</t>
  </si>
  <si>
    <t>Diferencia / causa</t>
  </si>
  <si>
    <t>Responsable</t>
  </si>
  <si>
    <t>Fecha comparación</t>
  </si>
  <si>
    <t>Proveedor</t>
  </si>
  <si>
    <t>Sucursal</t>
  </si>
  <si>
    <t>Fecha OC / corte</t>
  </si>
  <si>
    <t>Lista / versión</t>
  </si>
  <si>
    <t>Moneda</t>
  </si>
  <si>
    <t>Unidad de compra</t>
  </si>
  <si>
    <t>Artículo / línea</t>
  </si>
  <si>
    <t>Precio lista</t>
  </si>
  <si>
    <t>Descuento / orden de aplicación</t>
  </si>
  <si>
    <t>Neto OC</t>
  </si>
  <si>
    <t>Impuestos internos</t>
  </si>
  <si>
    <t>IVA</t>
  </si>
  <si>
    <t>Redondeo por línea</t>
  </si>
  <si>
    <t>Subtotal / total</t>
  </si>
  <si>
    <t>Estado aprobado</t>
  </si>
  <si>
    <t>Identificador Connexa–SGM</t>
  </si>
  <si>
    <t>Emisor único al proveedor</t>
  </si>
  <si>
    <t>Competencia y formación en cascada</t>
  </si>
  <si>
    <t>Agregar usuarios finales por rol. Asistencia y aptitud son registros distintos.</t>
  </si>
  <si>
    <t>Rol</t>
  </si>
  <si>
    <t>Persona</t>
  </si>
  <si>
    <t>Qué debe demostrar</t>
  </si>
  <si>
    <t>Versión / material</t>
  </si>
  <si>
    <t>Fecha evaluación</t>
  </si>
  <si>
    <t>Resultado</t>
  </si>
  <si>
    <t>Brecha / acción</t>
  </si>
  <si>
    <t>Evaluador</t>
  </si>
  <si>
    <t>Fecha reprueba</t>
  </si>
  <si>
    <t>Titular</t>
  </si>
  <si>
    <t>No evaluado</t>
  </si>
  <si>
    <t>Suplente</t>
  </si>
  <si>
    <t>Decisiones del equipo y Dirección</t>
  </si>
  <si>
    <t>El silencio no aprueba. Estado Resuelto requiere contenido, decisor, fecha y evidencia.</t>
  </si>
  <si>
    <t>Decisión requerida</t>
  </si>
  <si>
    <t>Criterio / contenido</t>
  </si>
  <si>
    <t>Decisión registrada</t>
  </si>
  <si>
    <t>Nombre decisor</t>
  </si>
  <si>
    <t>Fecha decisión</t>
  </si>
  <si>
    <t>D01</t>
  </si>
  <si>
    <t>Detalle B1, GAPS y módulos que entran en paralelo el 04/11</t>
  </si>
  <si>
    <t>30/10 preparación; 02/11 decisión</t>
  </si>
  <si>
    <t>Sin decidir</t>
  </si>
  <si>
    <t>Listado final versionado y dueño de cada decisión</t>
  </si>
  <si>
    <t>S01; S04; S05; S06</t>
  </si>
  <si>
    <t>D02</t>
  </si>
  <si>
    <t>Sponsor y líder DIARCO con facultades</t>
  </si>
  <si>
    <t>02/11</t>
  </si>
  <si>
    <t>Nombre, suplente y autoridad explícita</t>
  </si>
  <si>
    <t>S01; S09</t>
  </si>
  <si>
    <t>D03</t>
  </si>
  <si>
    <t>Titulares, suplentes y horas por módulo</t>
  </si>
  <si>
    <t>Persona y jefatura aceptan dedicación protegida</t>
  </si>
  <si>
    <t>D04</t>
  </si>
  <si>
    <t>Mesa de ayuda e IT con cobertura</t>
  </si>
  <si>
    <t>D05</t>
  </si>
  <si>
    <t>Población, ciclos y duración del paralelo desde 04/11</t>
  </si>
  <si>
    <t>Antes del 04/11</t>
  </si>
  <si>
    <t>Módulos, sitios, usuarios, proveedores, ciclos y exclusiones</t>
  </si>
  <si>
    <t>S09</t>
  </si>
  <si>
    <t>D06</t>
  </si>
  <si>
    <t>Control de paralelo: autoridad DIARCO/SGM y emisor único</t>
  </si>
  <si>
    <t>SGM conserva validez. Definir cómo comparar/reconciliar sin doble efecto ni envío al proveedor.</t>
  </si>
  <si>
    <t>S05; S09</t>
  </si>
  <si>
    <t>D07</t>
  </si>
  <si>
    <t>Reglas pendientes de compra y OC madre</t>
  </si>
  <si>
    <t>Antes del caso asociado</t>
  </si>
  <si>
    <t>Aprobación única documentada. Confirmar umbral automático, vigencia y cierre de OC madre/abierta según S16/S17.</t>
  </si>
  <si>
    <t>D08</t>
  </si>
  <si>
    <t>Cadencia, escalación y gates</t>
  </si>
  <si>
    <t>Plazos de decisión, evidencia y responsables de go/no-go</t>
  </si>
  <si>
    <t>D09</t>
  </si>
  <si>
    <t>Horario y objetivos soporte L1/L2</t>
  </si>
  <si>
    <t>Acuerdo DIARCO/Zeetrex, sin presumir servicio 24x7</t>
  </si>
  <si>
    <t>D10</t>
  </si>
  <si>
    <t>Criterio de aceptación OC valorizada y tolerancias</t>
  </si>
  <si>
    <t>Comparar campos y cálculo esperado independiente. Tolerancias aprobadas antes de ejecutar.</t>
  </si>
  <si>
    <t>S13; S09</t>
  </si>
  <si>
    <t>D11</t>
  </si>
  <si>
    <t>Evidencia de recuperación y calidad de stock</t>
  </si>
  <si>
    <t>Antes del paralelo afectado</t>
  </si>
  <si>
    <t>Obtener resultado de compromisos 26–27/10, pruebas tienda escuela y base conciliada.</t>
  </si>
  <si>
    <t>D12</t>
  </si>
  <si>
    <t>Secuencia de primeras sucursales, equipos y acompañamiento</t>
  </si>
  <si>
    <t>Antes de oleadas PDA</t>
  </si>
  <si>
    <t>Lista inicial, condición Wi-Fi/PDA por sitio, referentes y cobertura. Sin deducir 43 sucursales listas.</t>
  </si>
  <si>
    <t>S19</t>
  </si>
  <si>
    <t>D13</t>
  </si>
  <si>
    <t>Frontera QX/reposición automática y complejidad de reglas</t>
  </si>
  <si>
    <t>Antes de confirmar capacidad B1</t>
  </si>
  <si>
    <t>Conservar sugerido B1. No migrar QX/reposición automática ni acuerdos avanzados por inferencia.</t>
  </si>
  <si>
    <t>S23; S26</t>
  </si>
  <si>
    <t>Autorización de avance por población</t>
  </si>
  <si>
    <t>Duplicar gate por módulo/oleada. Validar umbrales. Smoke se exige antes del paralelo y no reemplaza UAT.</t>
  </si>
  <si>
    <t>Gate</t>
  </si>
  <si>
    <t>Criterio propuesto</t>
  </si>
  <si>
    <t>Evidencia requerida</t>
  </si>
  <si>
    <t>Módulo / oleada</t>
  </si>
  <si>
    <t>Decisión</t>
  </si>
  <si>
    <t>Enlace / reservas</t>
  </si>
  <si>
    <t>G0</t>
  </si>
  <si>
    <t>Inicio comprometido</t>
  </si>
  <si>
    <t>Acta inicial y decisiones D01 a D05/D08</t>
  </si>
  <si>
    <t>G1</t>
  </si>
  <si>
    <t>Preparación y UAT</t>
  </si>
  <si>
    <t>Datos y permisos certificados. 100% casos críticos pasan. Sin defectos críticos/altos abiertos en el circuito.</t>
  </si>
  <si>
    <t>UAT, casos dorados y ficha de referente</t>
  </si>
  <si>
    <t>G2</t>
  </si>
  <si>
    <t>Piloto aceptado</t>
  </si>
  <si>
    <t>Dos ciclos completos propuestos, uno con excepción. Conciliación sin diferencias críticas. Contingencia y soporte ensayados.</t>
  </si>
  <si>
    <t>Informe piloto y actas de dueños</t>
  </si>
  <si>
    <t>G3</t>
  </si>
  <si>
    <t>Oleada autorizada</t>
  </si>
  <si>
    <t>Usuarios preparados, soporte cubierto, corte/retorno validado por IT y recomendación conjunta.</t>
  </si>
  <si>
    <t>Acta go/no-go y bitácora</t>
  </si>
  <si>
    <t>G4</t>
  </si>
  <si>
    <t>Operación transferida</t>
  </si>
  <si>
    <t>Cinco días operativos estables propuestos. L1/titular/suplente demuestran autonomía y pendientes asignados.</t>
  </si>
  <si>
    <t>Acta de transferencia y métricas</t>
  </si>
  <si>
    <t>Riesgos y acciones de mitigación</t>
  </si>
  <si>
    <t>Revisar cada semana y antes de abrir paralelo/oleada.</t>
  </si>
  <si>
    <t>Riesgo</t>
  </si>
  <si>
    <t>Dueño rol</t>
  </si>
  <si>
    <t>Impacto</t>
  </si>
  <si>
    <t>Señal / disparador</t>
  </si>
  <si>
    <t>Respuesta propuesta</t>
  </si>
  <si>
    <t>Decisión vinculada</t>
  </si>
  <si>
    <t>Dueño nominal</t>
  </si>
  <si>
    <t>Fecha acción</t>
  </si>
  <si>
    <t>R01</t>
  </si>
  <si>
    <t>Personas sin tiempo protegido</t>
  </si>
  <si>
    <t>Alta</t>
  </si>
  <si>
    <t>No se ejecutan pruebas en las ventanas pactadas</t>
  </si>
  <si>
    <t>Asignar horas y suplentes. Reducir módulos concurrentes si falta capacidad.</t>
  </si>
  <si>
    <t>Abierto</t>
  </si>
  <si>
    <t>R02</t>
  </si>
  <si>
    <t>Alcance no conciliado entre septiembre y octubre</t>
  </si>
  <si>
    <t>Se usa un pedido como compromiso confirmado</t>
  </si>
  <si>
    <t>Cerrar D01 y registrar cualquier cambio con impacto.</t>
  </si>
  <si>
    <t>R03</t>
  </si>
  <si>
    <t>Doble carga o doble envío durante convivencia SGM</t>
  </si>
  <si>
    <t>Dos sistemas modifican la misma entidad o comunican una OC</t>
  </si>
  <si>
    <t>Matriz de maestría, emisor único, reintento y conciliación.</t>
  </si>
  <si>
    <t>R04</t>
  </si>
  <si>
    <t>IT o mesa de ayuda ausentes hasta el corte</t>
  </si>
  <si>
    <t>No hay canal, suplente o runbook probado</t>
  </si>
  <si>
    <t>Incluirlos desde G0 y exigir simulacro antes del piloto.</t>
  </si>
  <si>
    <t>R05</t>
  </si>
  <si>
    <t>Aceptación basada en demo/asistencia</t>
  </si>
  <si>
    <t>Casos sin esperado, ejecutor o evidencia</t>
  </si>
  <si>
    <t>UAT independiente y práctica individual. Cerrar con firma del dueño.</t>
  </si>
  <si>
    <t>R06</t>
  </si>
  <si>
    <t>Proveedor externo bloquea el circuito</t>
  </si>
  <si>
    <t>Interfaz/acuse no disponible en prueba</t>
  </si>
  <si>
    <t>Nombrar responsable externo, pactar contrato y alternativa explícita o recortar oleada.</t>
  </si>
  <si>
    <t>R07</t>
  </si>
  <si>
    <t>Datos o parámetros incompletos</t>
  </si>
  <si>
    <t>Cálculo no explicable o exclusiones no revisadas</t>
  </si>
  <si>
    <t>Certificar datos y remediar con dueño. Revalidar cobertura Inventory cuando aplique.</t>
  </si>
  <si>
    <t>R08</t>
  </si>
  <si>
    <t>Fechas históricas interpretadas como compromiso vigente</t>
  </si>
  <si>
    <t>Se exige corte SGM por fecha sin gates</t>
  </si>
  <si>
    <t>Rebaselinar por evidencia y capacidad. No apagar por calendario.</t>
  </si>
  <si>
    <t>R09</t>
  </si>
  <si>
    <t>Capacitación no llega al resto de usuarios</t>
  </si>
  <si>
    <t>Media</t>
  </si>
  <si>
    <t>Sólo referente puede operar</t>
  </si>
  <si>
    <t>Formación en cascada, evaluación por rol y suplente probado.</t>
  </si>
  <si>
    <t>R10</t>
  </si>
  <si>
    <t>Confundir paralelo productivo con nueva autoridad</t>
  </si>
  <si>
    <t>Se cambia stock/pendiente o se duplica emisión al proveedor durante comparación</t>
  </si>
  <si>
    <t>SGM válido. Identificación cruzada, emisor único y pruebas de no duplicación.</t>
  </si>
  <si>
    <t>R11</t>
  </si>
  <si>
    <t>Stock oficial con movimientos aún no incorporados</t>
  </si>
  <si>
    <t>Diferencia de inventario se atribuye a merma sin conciliar registros</t>
  </si>
  <si>
    <t>Separar autoridad SGM de calidad de saldo. Certificar foto inicial y movimientos antes de concluir.</t>
  </si>
  <si>
    <t>Reserva inicial de agenda por rol</t>
  </si>
  <si>
    <t>Rangos propuestos, confianza baja. No incluyen operación habitual, guardia ni desplazamiento. No suman personas con roles duplicados.</t>
  </si>
  <si>
    <t>Código</t>
  </si>
  <si>
    <t>Organización</t>
  </si>
  <si>
    <t>Resultado del rol</t>
  </si>
  <si>
    <t>h/sem mínimo</t>
  </si>
  <si>
    <t>h/sem máximo</t>
  </si>
  <si>
    <t>Cantidad personas</t>
  </si>
  <si>
    <t>Reserva mínima h</t>
  </si>
  <si>
    <t>Reserva máxima h</t>
  </si>
  <si>
    <t>Nota</t>
  </si>
  <si>
    <t>Sponsor DIARCO</t>
  </si>
  <si>
    <t>Dirección</t>
  </si>
  <si>
    <t>Priorizar, asignar capacidad, resolver escalaciones y decidir gates globales.</t>
  </si>
  <si>
    <t>Propuesta no calibrada. Confirmar personas únicas y carga compartida.</t>
  </si>
  <si>
    <t>Líder implementación DIARCO</t>
  </si>
  <si>
    <t>DIARCO</t>
  </si>
  <si>
    <t>Coordinar áreas, disponibilidad, evidencias y acciones internas.</t>
  </si>
  <si>
    <t>Dueño del proceso por módulo</t>
  </si>
  <si>
    <t>Decidir reglas, aceptar UAT y asumir el proceso operativo.</t>
  </si>
  <si>
    <t>Referente titular por módulo</t>
  </si>
  <si>
    <t>Preparar datos, probar, enseñar y resolver consultas funcionales L1.</t>
  </si>
  <si>
    <t>SU</t>
  </si>
  <si>
    <t>Suplente de referente por módulo</t>
  </si>
  <si>
    <t>Practicar, sustituir al titular y demostrar autonomía.</t>
  </si>
  <si>
    <t>Usuarios piloto por módulo</t>
  </si>
  <si>
    <t>Ejecutar casos y operación real. Registrar dificultades y resultados.</t>
  </si>
  <si>
    <t>Líder mesa de ayuda</t>
  </si>
  <si>
    <t>Registrar, clasificar, comunicar y seguir tickets hasta confirmar cierre.</t>
  </si>
  <si>
    <t>Líder IT DIARCO</t>
  </si>
  <si>
    <t>Accesos, conectividad, operación técnica local y coordinación de incidentes.</t>
  </si>
  <si>
    <t>Líder implementación Zeetrex</t>
  </si>
  <si>
    <t>Zeetrex</t>
  </si>
  <si>
    <t>Plan integrado, dependencias, riesgos y coordinación de entrega.</t>
  </si>
  <si>
    <t>Consultor funcional Zeetrex</t>
  </si>
  <si>
    <t>Configurar, formar, asistir UAT y transferir conocimiento.</t>
  </si>
  <si>
    <t>Líder técnico/soporte L2 Zeetrex</t>
  </si>
  <si>
    <t>Correcciones, integración, diagnóstico y escalamiento técnico.</t>
  </si>
  <si>
    <t>Responsable de sistema tercero</t>
  </si>
  <si>
    <t>A designar</t>
  </si>
  <si>
    <t>Cumplir su interfaz y participar de pruebas/recuperación cuando aplique.</t>
  </si>
  <si>
    <t>Equipo directivo y funciones propuestas</t>
  </si>
  <si>
    <t>Cargos informados por usuario. Las funciones de proyecto requieren acuerdo.</t>
  </si>
  <si>
    <t>Cargo informado</t>
  </si>
  <si>
    <t>Función propuesta</t>
  </si>
  <si>
    <t>Facultad por acordar</t>
  </si>
  <si>
    <t>Pablo Bertolissio</t>
  </si>
  <si>
    <t>Gerente General DIARCO</t>
  </si>
  <si>
    <t>Sponsor operativo DIARCO (SP)</t>
  </si>
  <si>
    <t>Propuesta a confirmar</t>
  </si>
  <si>
    <t>Prioridad, capacidad interna y gates operativos</t>
  </si>
  <si>
    <t>Roberto Goldfarb</t>
  </si>
  <si>
    <t>Owner DIARCO</t>
  </si>
  <si>
    <t>Patrocinio institucional y escalación estratégica</t>
  </si>
  <si>
    <t>Respaldo de transformación y conflictos de prioridad de compañía</t>
  </si>
  <si>
    <t>Daniel Padin</t>
  </si>
  <si>
    <t>CEO Zeetrex</t>
  </si>
  <si>
    <t>Sponsor ejecutivo Zeetrex</t>
  </si>
  <si>
    <t>Compromiso de entrega, recursos y escalación de Zeetrex</t>
  </si>
  <si>
    <t>Guillermo Añaños</t>
  </si>
  <si>
    <t>CIO DIARCO</t>
  </si>
  <si>
    <t>Equipo de Dirección de DIARCO Provisto poro Zeetrex</t>
  </si>
  <si>
    <t>Disponibilzar Recursos de IT de DIARCO</t>
  </si>
  <si>
    <t>Eduardo Ettlin</t>
  </si>
  <si>
    <t>CTSO Zeetrex</t>
  </si>
  <si>
    <t>Líder implementación Zeetrex (LZ)</t>
  </si>
  <si>
    <t>Plan integrado y coordinación de ejecución</t>
  </si>
  <si>
    <t>Pablo Duplessy</t>
  </si>
  <si>
    <t>Change Management Zeetrex</t>
  </si>
  <si>
    <t>Gestión del Cambio Zeetrex (CMZ)</t>
  </si>
  <si>
    <t>Coordinar Capacitación, Entrenamiento, Ciclos de Prueba, Adopción</t>
  </si>
  <si>
    <t>Alejandro Ledesma / Eduardo Ettlin</t>
  </si>
  <si>
    <t>DESARROLLO Zeetrex</t>
  </si>
  <si>
    <t>Autoridad técnica y coordinación L2 (ZT)</t>
  </si>
  <si>
    <t>Arquitectura, integraciones y decisiones técnicas</t>
  </si>
  <si>
    <t>Fuentes y precedencia</t>
  </si>
  <si>
    <t>Precedencia: instrucciones del usuario (04/11 y convivencia), IMPLEMENTACION/Estrategia, detalle reuniones. Fechas históricas no certifican ejecución.</t>
  </si>
  <si>
    <t>Fuente</t>
  </si>
  <si>
    <t>Corte</t>
  </si>
  <si>
    <t>Uso / límites</t>
  </si>
  <si>
    <t>Ubicación</t>
  </si>
  <si>
    <t>S01</t>
  </si>
  <si>
    <t>Solicitud del usuario</t>
  </si>
  <si>
    <t>29/10/2026</t>
  </si>
  <si>
    <t>Necesidad de compromiso DIARCO, referentes, WBS, formación, UAT y soporte.</t>
  </si>
  <si>
    <t>Conversación de trabajo</t>
  </si>
  <si>
    <t>S02</t>
  </si>
  <si>
    <t>Metodología Connexa v0.1</t>
  </si>
  <si>
    <t>27/07/2026</t>
  </si>
  <si>
    <t>Antecedente aprobado según sus metadatos. Duraciones sin calibrar.</t>
  </si>
  <si>
    <t>CONNEXA_FRAMEWORK/docs/20-metodologia-implementacion/00-metodologia-implementacion-v0.md</t>
  </si>
  <si>
    <t>S03</t>
  </si>
  <si>
    <t>Artefactos y criterios de salida</t>
  </si>
  <si>
    <t>Borrador de referencia. Cierre mediante evidencia y validación.</t>
  </si>
  <si>
    <t>CONNEXA_FRAMEWORK/docs/20-metodologia-implementacion/03-artefactos-y-criterios-de-salida.md</t>
  </si>
  <si>
    <t>S04</t>
  </si>
  <si>
    <t>Informe ejecutivo WBS septiembre</t>
  </si>
  <si>
    <t>21/09/2026</t>
  </si>
  <si>
    <t>Antecedente histórico. Porcentajes y fechas no verifican preparación actual.</t>
  </si>
  <si>
    <t>https://docs.google.com/document/d/1rhQI7f-sLXPjlrbATOFqlTWYBZ4-4esDDBgchhGvwXA/edit</t>
  </si>
  <si>
    <t>S05</t>
  </si>
  <si>
    <t>Reunión Plan Despliegue</t>
  </si>
  <si>
    <t>16/10/2026</t>
  </si>
  <si>
    <t>Transcripción. Propone convivencia SGM y despliegue gradual. No es acta aprobada.</t>
  </si>
  <si>
    <t>https://drive.google.com/file/d/1Wuug8RN0KgaodiotYqKLv-wWiXVunMSR/view</t>
  </si>
  <si>
    <t>DIARCO cambios octubre</t>
  </si>
  <si>
    <t>Actualizado 28/10/2026</t>
  </si>
  <si>
    <t>Mezcla realizados, pedidos y decisiones abiertas. No clasifica definitivamente B1/B2/B3.</t>
  </si>
  <si>
    <t>https://docs.google.com/document/d/13tTsK9QcUGNsY8hy5iSmRKclbCbAFbR0-_iVH-QNf1I/edit</t>
  </si>
  <si>
    <t>S07</t>
  </si>
  <si>
    <t>PDD alcance Fase 1 v1.1</t>
  </si>
  <si>
    <t>28/07/2026</t>
  </si>
  <si>
    <t>Alcance específico de PDD. Fase 1 no equivale a Bloque 1 del programa.</t>
  </si>
  <si>
    <t>PDD/PDD - ALCANCE Fase 1.md</t>
  </si>
  <si>
    <t>PDD preflight Inventory</t>
  </si>
  <si>
    <t>Foto histórica de cobertura TEST/PROD. Requiere lectura nueva antes de habilitar.</t>
  </si>
  <si>
    <t>PDD/documentacion/16_preflight_inventory_y_continuidad_20261029.md</t>
  </si>
  <si>
    <t>Diseño de este kit</t>
  </si>
  <si>
    <t>Roles, actividades, tiempos, umbrales y prioridades son propuestas a validar.</t>
  </si>
  <si>
    <t>Zeetrex / CNX_BLOQUE1 v0.1</t>
  </si>
  <si>
    <t>S10</t>
  </si>
  <si>
    <t>Plan de Despliegue - Estrategia</t>
  </si>
  <si>
    <t>16/10/2026; seleccionado 29/10</t>
  </si>
  <si>
    <t>Fuente rectora elegida expresamente por el usuario. Convivencia gradual. 07/11 disponibilidad, 09/11 pruebas previstas.</t>
  </si>
  <si>
    <t>CNX_BLOQUE1/documentacion/Plan de Despliegue - Estrategia.md</t>
  </si>
  <si>
    <t>S11</t>
  </si>
  <si>
    <t>PLAN DE DESPLIEGUE</t>
  </si>
  <si>
    <t>Antecedente local</t>
  </si>
  <si>
    <t>Contiene corte total al 07/11 incompatible con S10. No rige ese corte por decisión expresa del usuario.</t>
  </si>
  <si>
    <t>CNX_BLOQUE1/documentacion/PLAN DE DESPLIEGUE.md</t>
  </si>
  <si>
    <t>S12</t>
  </si>
  <si>
    <t>Nombres y cargos informados por el usuario</t>
  </si>
  <si>
    <t>Pablo Bertolissio, Roberto Goldfarb, Daniel Padin, Luciano Calcagno y Eduardo Ettlin. Facultades de proyecto propuestas, no aceptadas todavía.</t>
  </si>
  <si>
    <t>S13</t>
  </si>
  <si>
    <t>Objetivo de paralelo desde 04/11</t>
  </si>
  <si>
    <t>Instrucción más reciente: disponibilidad de módulos productivos, smoke tests y algunos días de paralelo desde 04/11, aceptación progresiva. Sigue valiendo información DIARCO/SGM.</t>
  </si>
  <si>
    <t>S14</t>
  </si>
  <si>
    <t>Drive compartido / IMPLEMENTACION</t>
  </si>
  <si>
    <t>Consultado 29/10/2026</t>
  </si>
  <si>
    <t>Repositorio del equipo indicado por usuario. IMPLEMENTACION es la carpeta principal para el plan. Sólo lectura.</t>
  </si>
  <si>
    <t>https://drive.google.com/drive/folders/16nz4aDlr91-vfIEMitnNC3J1JvD3MVd2</t>
  </si>
  <si>
    <t>S15</t>
  </si>
  <si>
    <t>Plan_Connexa_20261016.pdf</t>
  </si>
  <si>
    <t>Compartido 19/10/2026</t>
  </si>
  <si>
    <t>Módulos, validadores e infraestructura AP/PDA. Fechas y corte total quedan subordinados a S10/S13 por instrucción del usuario.</t>
  </si>
  <si>
    <t>https://drive.google.com/file/d/15phYIe_bxgcxKCC2tlU0dLbj8AQxeKlH/view</t>
  </si>
  <si>
    <t>S16</t>
  </si>
  <si>
    <t>Resumen ejecutivo post reuniones 20/10</t>
  </si>
  <si>
    <t>21/10/2026</t>
  </si>
  <si>
    <t>Aprobación única OC, OC madre/PDA, gobierno de maestros y compromisos VKM. No prueba que acciones posteriores se cumplieron.</t>
  </si>
  <si>
    <t>https://drive.google.com/file/d/12nzA5UzuvW4hFuwNvo7B9BM548QpNfdr/view</t>
  </si>
  <si>
    <t>S17</t>
  </si>
  <si>
    <t>Resumen reuniones 20/10</t>
  </si>
  <si>
    <t>Compartido 21/10/2026</t>
  </si>
  <si>
    <t>Casos de compras/logística y conciliación de facturas B2. Compromisos históricos por verificar.</t>
  </si>
  <si>
    <t>https://drive.google.com/file/d/1Lv8NQqOtdMPTBJGtMdPZ7aL9dbVM2H1D/view</t>
  </si>
  <si>
    <t>S18</t>
  </si>
  <si>
    <t>Estrategia en IMPLEMENTACION</t>
  </si>
  <si>
    <t>Versión PDF de la Estrategia rectora local. Convivencia gradual y separación disponibilidad/adopción.</t>
  </si>
  <si>
    <t>https://drive.google.com/file/d/1Ef2XfwjCcZG5W82jWGe_biuLPYbcQVv8/view</t>
  </si>
  <si>
    <t>Relanzar Recepción e Inventarios</t>
  </si>
  <si>
    <t>22/10/2026</t>
  </si>
  <si>
    <t>Disponibilidad y confiabilidad de stock se validan por separado. Wi-Fi, PDA, tienda escuela y primeras sucursales pendientes.</t>
  </si>
  <si>
    <t>https://drive.google.com/file/d/13gg2896DrzNJE-QJPVw9ZjxIwO77xM82/view</t>
  </si>
  <si>
    <t>S20</t>
  </si>
  <si>
    <t>Equipo técnico SM-MO-EWE</t>
  </si>
  <si>
    <t>Pruebas parciales informadas; pendientes SGM, autorizaciones, remitos, túnel, maestros y PDA/QR. No acredita cierre del 26/10.</t>
  </si>
  <si>
    <t>https://drive.google.com/file/d/1NJY0-0vUk1PjiCopLtRTub1ZE-hMo3Hx/view</t>
  </si>
  <si>
    <t>S21</t>
  </si>
  <si>
    <t>Equipo técnico MO-EWE</t>
  </si>
  <si>
    <t>OC madre demostrada. Concurrencia de recepciones y cambio de lista todavía a validar.</t>
  </si>
  <si>
    <t>https://drive.google.com/file/d/19o9Yfk5MbfNNvdoITYqZy0iqB2lQ-yw1/view</t>
  </si>
  <si>
    <t>S22</t>
  </si>
  <si>
    <t>Auditoría</t>
  </si>
  <si>
    <t>20/10/2026</t>
  </si>
  <si>
    <t>Guillermo Alvez, interlocutor. Gobierno de datos y workflows requieren definición organizativa.</t>
  </si>
  <si>
    <t>https://drive.google.com/file/d/12NzBdTsjvkwqv7ZnndETBb2hQuCScixH/view</t>
  </si>
  <si>
    <t>S23</t>
  </si>
  <si>
    <t>Compradores</t>
  </si>
  <si>
    <t>Romina Garfi, Roxana Frutos, Paloma Romero y Diego Baldi, interlocutores. OC madre y descuentos requieren pruebas.</t>
  </si>
  <si>
    <t>https://drive.google.com/file/d/1QRjn1y4a-0DLcG3nCLujM8VaB0FBFPzl/view</t>
  </si>
  <si>
    <t>S24</t>
  </si>
  <si>
    <t>Logística y Valkimia</t>
  </si>
  <si>
    <t>Christian Rojas/Gastón en Logística. API/Excel y redespachos no son una especificación aprobada.</t>
  </si>
  <si>
    <t>https://drive.google.com/file/d/1aY5pXBry83kI8Fs4pHE2cmezpGWFic3r/view</t>
  </si>
  <si>
    <t>S25</t>
  </si>
  <si>
    <t>Listas de proveedores</t>
  </si>
  <si>
    <t>13/10/2026</t>
  </si>
  <si>
    <t>Sebastián Basconcelos según esta minuta. Reglas de netos, precedencia y bonificaciones a validar.</t>
  </si>
  <si>
    <t>https://drive.google.com/file/d/14fA4uzvnh88GG3A8Puim1tiVch5RGl3A/view</t>
  </si>
  <si>
    <t>Pendientes de implementación</t>
  </si>
  <si>
    <t>19/10/2026</t>
  </si>
  <si>
    <t>Identifica interlocutores y deja QX/reposición automática para después de estabilización, fin B2. Confirmar frontera.</t>
  </si>
  <si>
    <t>https://drive.google.com/file/d/1UD6RZoactv23cY9J6RaK5-qGq5neW8DX/view</t>
  </si>
  <si>
    <t>S27</t>
  </si>
  <si>
    <t>Informe ejecutivo 23/10</t>
  </si>
  <si>
    <t>23/10/2026</t>
  </si>
  <si>
    <t>Última evidencia de reuniones al 22/10. No acredita cierre posterior de recuperación, integración o aceptación B1.</t>
  </si>
  <si>
    <t>https://drive.google.com/file/d/1MiOVTdg-nJS0WnxPQHmkiJBW_sF3PKtP/view</t>
  </si>
  <si>
    <t>Clusters y segmentos</t>
  </si>
  <si>
    <t>Liliana D’Amico. Seis segmentos son propuesta, modelo definitivo pendiente de simulación de categoría.</t>
  </si>
  <si>
    <t>https://drive.google.com/file/d/1aeoaYyiU3w15atsmD3zDT3W_ZMS2pfr0/view</t>
  </si>
  <si>
    <t>S29</t>
  </si>
  <si>
    <t>Contratos Valkimia</t>
  </si>
  <si>
    <t>Gustavo Palacios y Fernando de Pedro. Excel sigue en evaluación. No asumir disponible.</t>
  </si>
  <si>
    <t>https://drive.google.com/file/d/1Q5bV7YBnVGcCHOKnk8j_ZhWpfEJHOINn/view</t>
  </si>
  <si>
    <t>S30</t>
  </si>
  <si>
    <t>Conciliación de facturas</t>
  </si>
  <si>
    <t>Walter Sosa y Guillermo Alvez. Triple control OC/recepción/factura corresponde a Bloque 2.</t>
  </si>
  <si>
    <t>https://drive.google.com/file/d/1T297puOriKOsheglNGY-Sxj4W4aJKlM9/view</t>
  </si>
  <si>
    <t>Registros de formación por evaluar</t>
  </si>
  <si>
    <t>Las nuevas tareas WBS están al final de la tabla; filtrar por ID/predecesoras para planificar.</t>
  </si>
  <si>
    <t>3.01.02;2.20</t>
  </si>
  <si>
    <t>3.01.06;2.21</t>
  </si>
  <si>
    <t>3.02.02;2.20</t>
  </si>
  <si>
    <t>3.02.06;2.21</t>
  </si>
  <si>
    <t>3.03.02;2.20</t>
  </si>
  <si>
    <t>3.03.06;2.21</t>
  </si>
  <si>
    <t>3.04.02;2.20</t>
  </si>
  <si>
    <t>3.04.06;2.21</t>
  </si>
  <si>
    <t>3.05.02;2.20</t>
  </si>
  <si>
    <t>3.05.06;2.21</t>
  </si>
  <si>
    <t>3.06.02;2.20</t>
  </si>
  <si>
    <t>3.06.06;2.21</t>
  </si>
  <si>
    <t>3.07.02;2.20</t>
  </si>
  <si>
    <t>3.07.06;2.21</t>
  </si>
  <si>
    <t>3.08.02;2.20</t>
  </si>
  <si>
    <t>3.08.06;2.21</t>
  </si>
  <si>
    <t>3.09.02;2.20</t>
  </si>
  <si>
    <t>3.09.06;2.21</t>
  </si>
  <si>
    <t>3.10.02;2.20</t>
  </si>
  <si>
    <t>3.10.06;2.21</t>
  </si>
  <si>
    <t>CMZ</t>
  </si>
  <si>
    <t>1.07</t>
  </si>
  <si>
    <t>Acordar equipo IT DIARCO y cobertura</t>
  </si>
  <si>
    <t>Enlace de Dirección confirma responsable operativo IT, suplente, horas y ventanas.</t>
  </si>
  <si>
    <t>CIO</t>
  </si>
  <si>
    <t>1.02;1.04</t>
  </si>
  <si>
    <t>Antes de G0</t>
  </si>
  <si>
    <t>Nombre, facultades, disponibilidad y cobertura IT aceptados.</t>
  </si>
  <si>
    <t>1.08</t>
  </si>
  <si>
    <t>Asignar titular técnico L2 por circuito</t>
  </si>
  <si>
    <t>Alejandro Ledesma / Eduardo Ettlin acuerdan titular y respaldo técnico por integración y ventana.</t>
  </si>
  <si>
    <t>Antes de cada paralelo</t>
  </si>
  <si>
    <t>Matriz de cobertura técnica y escalación validada por LZ.</t>
  </si>
  <si>
    <t>2.20</t>
  </si>
  <si>
    <t>Planificar formación y adopción por módulo</t>
  </si>
  <si>
    <t>Pablo Duplessy coordina agenda, población, materiales, práctica y responsables de evaluación.</t>
  </si>
  <si>
    <t>1.03;1.05</t>
  </si>
  <si>
    <t>Antes del paralelo de cada módulo</t>
  </si>
  <si>
    <t>Plan por módulo con convocatoria, titular, suplente y práctica prevista.</t>
  </si>
  <si>
    <t>2.21</t>
  </si>
  <si>
    <t>Preparar seguimiento de competencia y adopción</t>
  </si>
  <si>
    <t>Registro de aptitud, brechas, repruebas, consultas y acciones por población.</t>
  </si>
  <si>
    <t>Antes de G1 y por oleada</t>
  </si>
  <si>
    <t>Instrumentos acordados; asistencia y competencia se registran por separado.</t>
  </si>
  <si>
    <t>RC22</t>
  </si>
  <si>
    <t>Asignar equipo IT DIARCO y cobertura</t>
  </si>
  <si>
    <t>RC23</t>
  </si>
  <si>
    <t>Planificar formación, prácticas y adopción</t>
  </si>
  <si>
    <t>RC24</t>
  </si>
  <si>
    <t>Acordar titular técnico L2 por circuito</t>
  </si>
  <si>
    <t>Pablo Duplessy (propuesto)</t>
  </si>
  <si>
    <t>Planificar sesiones y práctica, seguir aptitud y brechas sin confundir asistencia con competencia.</t>
  </si>
  <si>
    <t>Guillermo Añaños (propuesto)</t>
  </si>
  <si>
    <t>Acordar equipo IT operativo, cobertura y vía de escalación para cada ventana.</t>
  </si>
  <si>
    <t>Alejandro Ledesma / Eduardo Ettlin (propuestos)</t>
  </si>
  <si>
    <t>Demostrar integración, diagnóstico L2, recuperación y titular técnico por circuito.</t>
  </si>
  <si>
    <t>Nombrar líder IT operativo, suplente, guardia por ventana y canal. Confirmar enlace CIO sin confundir ambos roles.</t>
  </si>
  <si>
    <t>S01; S09; S31</t>
  </si>
  <si>
    <t>D14</t>
  </si>
  <si>
    <t>Rol CMZ, plan de formación y responsables de adopción</t>
  </si>
  <si>
    <t>02/11, antes de G0</t>
  </si>
  <si>
    <t>Confirmar Pablo Duplessy, agenda, RACI, seguimiento de aptitud y límites frente a DP/RF.</t>
  </si>
  <si>
    <t>S31; S32</t>
  </si>
  <si>
    <t>Alcance B1, roles nominales, tiempo autorizado, responsable IT operativo, coordinación CMZ, piloto y soporte asignados.</t>
  </si>
  <si>
    <t>R12</t>
  </si>
  <si>
    <t>Cambio sin agenda ni seguimiento de aptitud</t>
  </si>
  <si>
    <t>Referentes asisten pero no demuestran autonomía; usuarios sin cobertura de formación.</t>
  </si>
  <si>
    <t>Acordar D14 y registrar práctica, brechas y repruebas por población.</t>
  </si>
  <si>
    <t>R13</t>
  </si>
  <si>
    <t>Enlace CIO sin responsable IT operativo</t>
  </si>
  <si>
    <t>No hay persona IT, suplente o ventana para acceso, interfaz y recuperación.</t>
  </si>
  <si>
    <t>Cerrar D04 con nombres, horas y cobertura; verificar por circuito antes del paralelo.</t>
  </si>
  <si>
    <t>Eduardo Ettlin propuesto como LZ. Consolidar su carga con ZT si ocupa ambos roles.</t>
  </si>
  <si>
    <t>Alejandro Ledesma / Eduardo Ettlin propuestos. Definir titular por circuito; no duplicar horas de Eduardo.</t>
  </si>
  <si>
    <t>Enlace de Dirección para IT DIARCO</t>
  </si>
  <si>
    <t>DIARCO / provisto por Zeetrex</t>
  </si>
  <si>
    <t>Conseguir responsable IT operativo, suplente, tiempo y cobertura por ventana.</t>
  </si>
  <si>
    <t>Guillermo Añaños, según Gobierno. Acordar dedicación; no equivale al rol IT operativo.</t>
  </si>
  <si>
    <t>Gestión del Cambio Zeetrex</t>
  </si>
  <si>
    <t>Coordinar formación, práctica, ciclos de prueba y seguimiento de adopción.</t>
  </si>
  <si>
    <t>Pablo Duplessy, según Gobierno. Acordar dedicación con LZ.</t>
  </si>
  <si>
    <t>S31</t>
  </si>
  <si>
    <t>Gobierno editado por el usuario</t>
  </si>
  <si>
    <t>30/10/2026</t>
  </si>
  <si>
    <t>Siete perfiles propuestos; funciones y horas pendientes de aceptación.</t>
  </si>
  <si>
    <t>Libro v0.2, Gobierno!A5:E12</t>
  </si>
  <si>
    <t>S32</t>
  </si>
  <si>
    <t>Asignaciones editadas por el usuario</t>
  </si>
  <si>
    <t>Interlocutores ampliados por módulo; campos nominales aún vacíos.</t>
  </si>
  <si>
    <t>Libro v0.2, Asignaciones!A5:Q15</t>
  </si>
  <si>
    <t>Cobertura Inventory para cálculo PDD (Dias de Stock y Sobrestock) + Lead Times</t>
  </si>
  <si>
    <t>Recepciones y alcance de convivencia SGM (Fin Despliegue PDA)</t>
  </si>
  <si>
    <t>Liliana D'Amico</t>
  </si>
  <si>
    <t>Sebastián Basconcelos</t>
  </si>
  <si>
    <t>Romina Garfi, Carolina Tavernisse(Non-Food), Camila Klipauka(Perfumeria),Marcelo Cingolani, Diego Baldi(Perecederos), Paloma Romero</t>
  </si>
  <si>
    <t>Fernando Ureña / Cecilia Camus / Javier Dafonte / Rodolfo Herlein</t>
  </si>
  <si>
    <t>Guillermo Alvez</t>
  </si>
  <si>
    <t>Christian Rojas (logistica)/ Liliana D'Amico, Carolina Tavernisse</t>
  </si>
  <si>
    <t>Christian Rojas / Gastón</t>
  </si>
  <si>
    <t>IT + Control</t>
  </si>
  <si>
    <t>Romina Garfi, Carolina Tavernisse(Non-Food),Diego Baldi(Perecederos), Paloma Romero</t>
  </si>
  <si>
    <t xml:space="preserve"> Camila Klipauka(Perfumeria),Marcelo Cingolani, </t>
  </si>
  <si>
    <t>Descripcion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</si>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</sst>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name val="Carlito"/>
    </font>
    <font>
      <sz val="10"/>
      <color rgb="FF203040"/>
      <name val="Arial"/>
    </font>
    <font>
      <b/>
      <sz val="15"/>
      <color rgb="FF19334C"/>
      <name val="Arial"/>
    </font>
    <font>
      <i/>
      <sz val="10"/>
      <color rgb="FF5E6B77"/>
      <name val="Arial"/>
    </font>
    <font>
      <b/>
      <sz val="10"/>
      <color rgb="FFFFFFFF"/>
      <name val="Arial"/>
    </font>
    <font>
      <sz val="11"/>
      <color rgb="FF203040"/>
      <name val="Arial"/>
    </font>
    <font>
      <sz val="11"/>
      <color rgb="FF203040"/>
      <name val="Arial"/>
      <family val="2"/>
    </font>
    <font>
      <sz val="12"/>
      <color rgb="FF203040"/>
      <name val="Arial"/>
      <family val="2"/>
    </font>
    <font>
      <sz val="16"/>
      <color rgb="FF203040"/>
      <name val="Arial"/>
      <family val="2"/>
    </font>
    <font>
      <b/>
      <sz val="16"/>
      <color rgb="FF19334C"/>
      <name val="Arial"/>
      <family val="2"/>
    </font>
    <font>
      <b/>
      <sz val="16"/>
      <color rgb="FFFFFFFF"/>
      <name val="Arial"/>
      <family val="2"/>
    </font>
    <font>
      <sz val="10"/>
      <color rgb="FF203040"/>
      <name val="Arial"/>
      <family val="2"/>
    </font>
    <font>
      <b/>
      <sz val="10"/>
      <color rgb="FFFFFFFF"/>
      <name val="Arial"/>
      <family val="2"/>
    </font>
    <font>
      <i/>
      <sz val="8"/>
      <color theme="9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9334C"/>
      </patternFill>
    </fill>
    <fill>
      <patternFill patternType="solid">
        <fgColor rgb="FFFFFFFF"/>
      </patternFill>
    </fill>
    <fill>
      <patternFill patternType="solid">
        <fgColor rgb="FFF1F4F7"/>
      </patternFill>
    </fill>
    <fill>
      <patternFill patternType="solid">
        <fgColor rgb="FFFFF2CC"/>
      </patternFill>
    </fill>
    <fill>
      <patternFill patternType="solid">
        <fgColor rgb="FF19334C"/>
      </patternFill>
    </fill>
    <fill>
      <patternFill patternType="solid">
        <fgColor rgb="FFFFFFFF"/>
      </patternFill>
    </fill>
    <fill>
      <patternFill patternType="solid">
        <fgColor rgb="FFF1F4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14" fontId="1" fillId="5" borderId="0" xfId="0" applyNumberFormat="1" applyFont="1" applyFill="1" applyAlignment="1">
      <alignment vertical="top" wrapText="1"/>
    </xf>
    <xf numFmtId="164" fontId="1" fillId="5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5" fillId="0" borderId="0" xfId="0" applyFont="1"/>
    <xf numFmtId="0" fontId="6" fillId="3" borderId="0" xfId="0" applyFont="1" applyFill="1" applyAlignment="1">
      <alignment vertical="top" wrapText="1"/>
    </xf>
    <xf numFmtId="164" fontId="6" fillId="5" borderId="0" xfId="0" applyNumberFormat="1" applyFont="1" applyFill="1" applyAlignment="1">
      <alignment vertical="top" wrapText="1"/>
    </xf>
    <xf numFmtId="164" fontId="6" fillId="3" borderId="0" xfId="0" applyNumberFormat="1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164" fontId="6" fillId="4" borderId="0" xfId="0" applyNumberFormat="1" applyFont="1" applyFill="1" applyAlignment="1">
      <alignment vertical="top" wrapText="1"/>
    </xf>
    <xf numFmtId="0" fontId="7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1" fillId="3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4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7" borderId="0" xfId="0" applyFill="1" applyAlignment="1">
      <alignment horizontal="center" wrapText="1"/>
    </xf>
    <xf numFmtId="0" fontId="0" fillId="8" borderId="0" xfId="0" applyFill="1" applyAlignment="1">
      <alignment wrapText="1"/>
    </xf>
    <xf numFmtId="0" fontId="0" fillId="8" borderId="0" xfId="0" applyFill="1" applyAlignment="1">
      <alignment horizontal="center" wrapText="1"/>
    </xf>
    <xf numFmtId="49" fontId="1" fillId="4" borderId="0" xfId="0" applyNumberFormat="1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14" fontId="1" fillId="9" borderId="0" xfId="0" applyNumberFormat="1" applyFont="1" applyFill="1" applyAlignment="1">
      <alignment vertical="top" wrapText="1"/>
    </xf>
    <xf numFmtId="164" fontId="6" fillId="9" borderId="0" xfId="0" applyNumberFormat="1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12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6" fillId="3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13" fillId="3" borderId="0" xfId="0" applyFont="1" applyFill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1">
    <dxf>
      <font>
        <color rgb="FF9C260F"/>
      </font>
      <fill>
        <patternFill>
          <bgColor rgb="FFFCE4D6"/>
        </patternFill>
      </fill>
    </dxf>
    <dxf>
      <font>
        <color rgb="FF9C260F"/>
      </font>
      <fill>
        <patternFill>
          <bgColor rgb="FFFCE4D6"/>
        </patternFill>
      </fill>
    </dxf>
    <dxf>
      <font>
        <color rgb="FF9C260F"/>
      </font>
      <fill>
        <patternFill>
          <bgColor rgb="FFFCE4D6"/>
        </patternFill>
      </fill>
    </dxf>
    <dxf>
      <font>
        <color rgb="FF9C260F"/>
      </font>
      <fill>
        <patternFill>
          <bgColor rgb="FFFCE4D6"/>
        </patternFill>
      </fill>
    </dxf>
    <dxf>
      <font>
        <color rgb="FF9C260F"/>
      </font>
      <fill>
        <patternFill>
          <bgColor rgb="FFFCE4D6"/>
        </patternFill>
      </fill>
    </dxf>
    <dxf>
      <font>
        <color rgb="FF9C260F"/>
      </font>
      <fill>
        <patternFill>
          <bgColor rgb="FFFCE4D6"/>
        </patternFill>
      </fill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3040"/>
        <name val="Arial"/>
        <scheme val="none"/>
      </font>
      <numFmt numFmtId="0" formatCode="General"/>
      <fill>
        <patternFill patternType="solid">
          <fgColor indexed="64"/>
          <bgColor rgb="FFF1F4F7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  <alignment horizontal="center" vertical="top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theme="9" tint="-0.249977111117893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rgb="FF203040"/>
        <name val="Arial"/>
        <scheme val="none"/>
      </font>
    </dxf>
    <dxf>
      <font>
        <u val="none"/>
        <sz val="11"/>
        <color rgb="FF203040"/>
        <name val="Arial"/>
        <family val="2"/>
        <scheme val="none"/>
      </font>
    </dxf>
    <dxf>
      <font>
        <u val="none"/>
        <sz val="11"/>
        <color rgb="FF203040"/>
        <name val="Arial"/>
        <family val="2"/>
        <scheme val="none"/>
      </font>
    </dxf>
    <dxf>
      <font>
        <u val="none"/>
        <sz val="11"/>
        <color rgb="FF203040"/>
        <name val="Arial"/>
        <family val="2"/>
        <scheme val="none"/>
      </font>
    </dxf>
    <dxf>
      <font>
        <u val="none"/>
        <sz val="11"/>
        <color rgb="FF203040"/>
        <name val="Arial"/>
        <family val="2"/>
        <scheme val="none"/>
      </font>
    </dxf>
    <dxf>
      <font>
        <u val="none"/>
        <sz val="11"/>
        <color rgb="FF203040"/>
        <name val="Arial"/>
        <family val="2"/>
        <scheme val="none"/>
      </font>
    </dxf>
    <dxf>
      <font>
        <u val="none"/>
        <sz val="11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20304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signaciones" displayName="T_Asignaciones" ref="A5:Q15" totalsRowShown="0">
  <tableColumns count="17">
    <tableColumn id="1" xr3:uid="{00000000-0010-0000-0000-000001000000}" name="ID" dataDxfId="20"/>
    <tableColumn id="2" xr3:uid="{00000000-0010-0000-0000-000002000000}" name="Capacidad B1" dataDxfId="19"/>
    <tableColumn id="3" xr3:uid="{00000000-0010-0000-0000-000003000000}" name="Bloque" dataDxfId="18"/>
    <tableColumn id="4" xr3:uid="{00000000-0010-0000-0000-000004000000}" name="Dueño propuesto (función)"/>
    <tableColumn id="5" xr3:uid="{00000000-0010-0000-0000-000005000000}" name="Interlocutor de antecedentes"/>
    <tableColumn id="6" xr3:uid="{00000000-0010-0000-0000-000006000000}" name="Titular confirmado"/>
    <tableColumn id="7" xr3:uid="{00000000-0010-0000-0000-000007000000}" name="Suplente confirmado"/>
    <tableColumn id="8" xr3:uid="{00000000-0010-0000-0000-000008000000}" name="Jefatura que libera tiempo"/>
    <tableColumn id="9" xr3:uid="{00000000-0010-0000-0000-000009000000}" name="h titular/semana"/>
    <tableColumn id="10" xr3:uid="{00000000-0010-0000-0000-00000A000000}" name="h suplente/semana"/>
    <tableColumn id="11" xr3:uid="{00000000-0010-0000-0000-00000B000000}" name="Ventanas de agenda"/>
    <tableColumn id="12" xr3:uid="{00000000-0010-0000-0000-00000C000000}" name="Compromiso"/>
    <tableColumn id="13" xr3:uid="{00000000-0010-0000-0000-00000D000000}" name="Acepta jefatura"/>
    <tableColumn id="14" xr3:uid="{00000000-0010-0000-0000-00000E000000}" name="Fecha aceptación"/>
    <tableColumn id="15" xr3:uid="{00000000-0010-0000-0000-00000F000000}" name="Preparación del equipo"/>
    <tableColumn id="16" xr3:uid="{00000000-0010-0000-0000-000010000000}" name="Dueño nominal confirmado"/>
    <tableColumn id="17" xr3:uid="{00000000-0010-0000-0000-000011000000}" name="Aceptación del dueñ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_WBS" displayName="T_WBS" ref="A5:P121" totalsRowShown="0">
  <tableColumns count="16">
    <tableColumn id="1" xr3:uid="{00000000-0010-0000-0100-000001000000}" name="WBS"/>
    <tableColumn id="2" xr3:uid="{00000000-0010-0000-0100-000002000000}" name="Módulo"/>
    <tableColumn id="3" xr3:uid="{00000000-0010-0000-0100-000003000000}" name="Actividad"/>
    <tableColumn id="4" xr3:uid="{00000000-0010-0000-0100-000004000000}" name="Entregable / acción concreta"/>
    <tableColumn id="5" xr3:uid="{00000000-0010-0000-0100-000005000000}" name="R"/>
    <tableColumn id="6" xr3:uid="{00000000-0010-0000-0100-000006000000}" name="A"/>
    <tableColumn id="7" xr3:uid="{00000000-0010-0000-0100-000007000000}" name="Predecesoras"/>
    <tableColumn id="8" xr3:uid="{00000000-0010-0000-0100-000008000000}" name="Ventana propuesta"/>
    <tableColumn id="9" xr3:uid="{00000000-0010-0000-0100-000009000000}" name="Criterio de cierre"/>
    <tableColumn id="10" xr3:uid="{00000000-0010-0000-0100-00000A000000}" name="Estado"/>
    <tableColumn id="11" xr3:uid="{00000000-0010-0000-0100-00000B000000}" name="Nombre ejecutor R"/>
    <tableColumn id="12" xr3:uid="{00000000-0010-0000-0100-00000C000000}" name="Fecha objetivo"/>
    <tableColumn id="13" xr3:uid="{00000000-0010-0000-0100-00000D000000}" name="Evidencia"/>
    <tableColumn id="14" xr3:uid="{00000000-0010-0000-0100-00000E000000}" name="Aceptado por"/>
    <tableColumn id="15" xr3:uid="{00000000-0010-0000-0100-00000F000000}" name="Fecha aceptación"/>
    <tableColumn id="16" xr3:uid="{00000000-0010-0000-0100-000010000000}" name="Control de cier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_RACI" displayName="T_RACI" ref="A5:O29" totalsRowShown="0">
  <tableColumns count="15">
    <tableColumn id="1" xr3:uid="{00000000-0010-0000-0200-000001000000}" name="ID"/>
    <tableColumn id="2" xr3:uid="{00000000-0010-0000-0200-000002000000}" name="Actividad"/>
    <tableColumn id="3" xr3:uid="{00000000-0010-0000-0200-000003000000}" name="SP"/>
    <tableColumn id="4" xr3:uid="{00000000-0010-0000-0200-000004000000}" name="LD"/>
    <tableColumn id="5" xr3:uid="{00000000-0010-0000-0200-000005000000}" name="DP"/>
    <tableColumn id="6" xr3:uid="{00000000-0010-0000-0200-000006000000}" name="RF"/>
    <tableColumn id="7" xr3:uid="{00000000-0010-0000-0200-000007000000}" name="US"/>
    <tableColumn id="8" xr3:uid="{00000000-0010-0000-0200-000008000000}" name="MD"/>
    <tableColumn id="9" xr3:uid="{00000000-0010-0000-0200-000009000000}" name="IT"/>
    <tableColumn id="10" xr3:uid="{00000000-0010-0000-0200-00000A000000}" name="LZ"/>
    <tableColumn id="11" xr3:uid="{00000000-0010-0000-0200-00000B000000}" name="ZF"/>
    <tableColumn id="12" xr3:uid="{00000000-0010-0000-0200-00000C000000}" name="ZT"/>
    <tableColumn id="13" xr3:uid="{00000000-0010-0000-0200-00000D000000}" name="EXT"/>
    <tableColumn id="14" xr3:uid="{00000000-0010-0000-0200-00000E000000}" name="CIO"/>
    <tableColumn id="15" xr3:uid="{00000000-0010-0000-0200-00000F000000}" name="CMZ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GAPS" displayName="T_GAPS" ref="A5:K18" totalsRowShown="0">
  <tableColumns count="11">
    <tableColumn id="1" xr3:uid="{00000000-0010-0000-0300-000001000000}" name="GAP" dataDxfId="17"/>
    <tableColumn id="2" xr3:uid="{00000000-0010-0000-0300-000002000000}" name="Módulo" dataDxfId="16"/>
    <tableColumn id="3" xr3:uid="{00000000-0010-0000-0300-000003000000}" name="Capacidad / pedido" dataDxfId="15"/>
    <tableColumn id="4" xr3:uid="{00000000-0010-0000-0300-000004000000}" name="Clasificación documentada" dataDxfId="14"/>
    <tableColumn id="5" xr3:uid="{00000000-0010-0000-0300-000005000000}" name="Condición / detalle pendiente" dataDxfId="13"/>
    <tableColumn id="6" xr3:uid="{00000000-0010-0000-0300-000006000000}" name="Fuentes" dataDxfId="12"/>
    <tableColumn id="7" xr3:uid="{00000000-0010-0000-0300-000007000000}" name="Decisión final"/>
    <tableColumn id="8" xr3:uid="{00000000-0010-0000-0300-000008000000}" name="Dueño de decisión"/>
    <tableColumn id="9" xr3:uid="{00000000-0010-0000-0300-000009000000}" name="Fecha"/>
    <tableColumn id="10" xr3:uid="{00000000-0010-0000-0300-00000A000000}" name="Motivo / impacto"/>
    <tableColumn id="11" xr3:uid="{00000000-0010-0000-0300-00000B000000}" name="Evid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UAT" displayName="T_UAT" ref="A5:Y38" totalsRowShown="0">
  <tableColumns count="25">
    <tableColumn id="1" xr3:uid="{00000000-0010-0000-0400-000001000000}" name="Caso / ejecución" dataDxfId="11"/>
    <tableColumn id="2" xr3:uid="{00000000-0010-0000-0400-000002000000}" name="Módulo" dataDxfId="10"/>
    <tableColumn id="25" xr3:uid="{1AA0A8C3-6507-4B4C-B9B1-480310E9F872}" name="Detalle" dataDxfId="9">
      <calculatedColumnFormula>VLOOKUP(T_UAT[[#This Row],[Módulo]],T_Asignaciones[[ID]:[Capacidad B1]],2,FALSE)</calculatedColumnFormula>
    </tableColumn>
    <tableColumn id="3" xr3:uid="{00000000-0010-0000-0400-000003000000}" name="Escenario"/>
    <tableColumn id="4" xr3:uid="{00000000-0010-0000-0400-000004000000}" name="Criticidad"/>
    <tableColumn id="5" xr3:uid="{00000000-0010-0000-0400-000005000000}" name="Precondiciones / dataset"/>
    <tableColumn id="6" xr3:uid="{00000000-0010-0000-0400-000006000000}" name="Pasos"/>
    <tableColumn id="7" xr3:uid="{00000000-0010-0000-0400-000007000000}" name="Resultado esperado a aprobar"/>
    <tableColumn id="8" xr3:uid="{00000000-0010-0000-0400-000008000000}" name="R ejecuta"/>
    <tableColumn id="9" xr3:uid="{00000000-0010-0000-0400-000009000000}" name="A acepta"/>
    <tableColumn id="10" xr3:uid="{00000000-0010-0000-0400-00000A000000}" name="Versión"/>
    <tableColumn id="11" xr3:uid="{00000000-0010-0000-0400-00000B000000}" name="Ambiente"/>
    <tableColumn id="12" xr3:uid="{00000000-0010-0000-0400-00000C000000}" name="Dataset / corte"/>
    <tableColumn id="13" xr3:uid="{00000000-0010-0000-0400-00000D000000}" name="Ejecutado por"/>
    <tableColumn id="14" xr3:uid="{00000000-0010-0000-0400-00000E000000}" name="Fecha ejecución"/>
    <tableColumn id="15" xr3:uid="{00000000-0010-0000-0400-00000F000000}" name="Resultado real"/>
    <tableColumn id="16" xr3:uid="{00000000-0010-0000-0400-000010000000}" name="Evidencia"/>
    <tableColumn id="17" xr3:uid="{00000000-0010-0000-0400-000011000000}" name="Defecto"/>
    <tableColumn id="18" xr3:uid="{00000000-0010-0000-0400-000012000000}" name="Dictamen"/>
    <tableColumn id="19" xr3:uid="{00000000-0010-0000-0400-000013000000}" name="Aceptado por"/>
    <tableColumn id="20" xr3:uid="{00000000-0010-0000-0400-000014000000}" name="Estado ejecución"/>
    <tableColumn id="21" xr3:uid="{00000000-0010-0000-0400-000015000000}" name="Control de evidencia"/>
    <tableColumn id="22" xr3:uid="{00000000-0010-0000-0400-000016000000}" name="Fecha aceptación"/>
    <tableColumn id="23" xr3:uid="{00000000-0010-0000-0400-000017000000}" name="Esperado aprobado por"/>
    <tableColumn id="24" xr3:uid="{00000000-0010-0000-0400-000018000000}" name="Fecha validación esper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OCparalelo" displayName="T_OCparalelo" ref="A5:K23" totalsRowShown="0">
  <tableColumns count="11">
    <tableColumn id="1" xr3:uid="{00000000-0010-0000-0500-000001000000}" name="OC / ejecución"/>
    <tableColumn id="2" xr3:uid="{00000000-0010-0000-0500-000002000000}" name="Línea / campo"/>
    <tableColumn id="3" xr3:uid="{00000000-0010-0000-0500-000003000000}" name="Connexa"/>
    <tableColumn id="4" xr3:uid="{00000000-0010-0000-0500-000004000000}" name="DIARCO / SGM (válido)"/>
    <tableColumn id="5" xr3:uid="{00000000-0010-0000-0500-000005000000}" name="Esperado independiente"/>
    <tableColumn id="6" xr3:uid="{00000000-0010-0000-0500-000006000000}" name="Tolerancia acordada"/>
    <tableColumn id="7" xr3:uid="{00000000-0010-0000-0500-000007000000}" name="Diferencia / causa"/>
    <tableColumn id="8" xr3:uid="{00000000-0010-0000-0500-000008000000}" name="Dictamen"/>
    <tableColumn id="9" xr3:uid="{00000000-0010-0000-0500-000009000000}" name="Responsable"/>
    <tableColumn id="10" xr3:uid="{00000000-0010-0000-0500-00000A000000}" name="Evidencia"/>
    <tableColumn id="11" xr3:uid="{00000000-0010-0000-0500-00000B000000}" name="Fecha compar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6000000}" name="T_Formacion" displayName="T_Formacion" ref="A5:L28" totalsRowShown="0">
  <tableColumns count="12">
    <tableColumn id="1" xr3:uid="{00000000-0010-0000-0600-000001000000}" name="Módulo" dataDxfId="8"/>
    <tableColumn id="12" xr3:uid="{41108109-5168-4533-9361-3005560D2281}" name="Descripcion" dataDxfId="7">
      <calculatedColumnFormula>VLOOKUP(T_Formacion[[#This Row],[Módulo]],T_Asignaciones[[ID]:[Capacidad B1]],2,FALSE)</calculatedColumnFormula>
    </tableColumn>
    <tableColumn id="2" xr3:uid="{00000000-0010-0000-0600-000002000000}" name="Rol" dataDxfId="6"/>
    <tableColumn id="3" xr3:uid="{00000000-0010-0000-0600-000003000000}" name="Persona"/>
    <tableColumn id="4" xr3:uid="{00000000-0010-0000-0600-000004000000}" name="Qué debe demostrar"/>
    <tableColumn id="5" xr3:uid="{00000000-0010-0000-0600-000005000000}" name="Versión / material"/>
    <tableColumn id="6" xr3:uid="{00000000-0010-0000-0600-000006000000}" name="Fecha evaluación"/>
    <tableColumn id="7" xr3:uid="{00000000-0010-0000-0600-000007000000}" name="Resultado"/>
    <tableColumn id="8" xr3:uid="{00000000-0010-0000-0600-000008000000}" name="Brecha / acción"/>
    <tableColumn id="9" xr3:uid="{00000000-0010-0000-0600-000009000000}" name="Evaluador"/>
    <tableColumn id="10" xr3:uid="{00000000-0010-0000-0600-00000A000000}" name="Evidencia"/>
    <tableColumn id="11" xr3:uid="{00000000-0010-0000-0600-00000B000000}" name="Fecha reprueb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7000000}" name="T_Decisiones" displayName="T_Decisiones" ref="A5:K19" totalsRowShown="0">
  <tableColumns count="11">
    <tableColumn id="1" xr3:uid="{00000000-0010-0000-0700-000001000000}" name="ID"/>
    <tableColumn id="2" xr3:uid="{00000000-0010-0000-0700-000002000000}" name="Decisión requerida"/>
    <tableColumn id="3" xr3:uid="{00000000-0010-0000-0700-000003000000}" name="A"/>
    <tableColumn id="4" xr3:uid="{00000000-0010-0000-0700-000004000000}" name="Ventana propuesta"/>
    <tableColumn id="5" xr3:uid="{00000000-0010-0000-0700-000005000000}" name="Estado"/>
    <tableColumn id="6" xr3:uid="{00000000-0010-0000-0700-000006000000}" name="Criterio / contenido"/>
    <tableColumn id="7" xr3:uid="{00000000-0010-0000-0700-000007000000}" name="Fuentes"/>
    <tableColumn id="8" xr3:uid="{00000000-0010-0000-0700-000008000000}" name="Decisión registrada"/>
    <tableColumn id="9" xr3:uid="{00000000-0010-0000-0700-000009000000}" name="Nombre decisor"/>
    <tableColumn id="10" xr3:uid="{00000000-0010-0000-0700-00000A000000}" name="Fecha decisión"/>
    <tableColumn id="11" xr3:uid="{00000000-0010-0000-0700-00000B000000}" name="Evidenc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Gates" displayName="T_Gates" ref="A5:K10" totalsRowShown="0">
  <tableColumns count="11">
    <tableColumn id="1" xr3:uid="{00000000-0010-0000-0800-000001000000}" name="Gate"/>
    <tableColumn id="2" xr3:uid="{00000000-0010-0000-0800-000002000000}" name="Resultado"/>
    <tableColumn id="3" xr3:uid="{00000000-0010-0000-0800-000003000000}" name="Criterio propuesto"/>
    <tableColumn id="4" xr3:uid="{00000000-0010-0000-0800-000004000000}" name="A"/>
    <tableColumn id="5" xr3:uid="{00000000-0010-0000-0800-000005000000}" name="Evidencia requerida"/>
    <tableColumn id="6" xr3:uid="{00000000-0010-0000-0800-000006000000}" name="Módulo / oleada"/>
    <tableColumn id="7" xr3:uid="{00000000-0010-0000-0800-000007000000}" name="Versión"/>
    <tableColumn id="8" xr3:uid="{00000000-0010-0000-0800-000008000000}" name="Decisión"/>
    <tableColumn id="9" xr3:uid="{00000000-0010-0000-0800-000009000000}" name="Nombre decisor"/>
    <tableColumn id="10" xr3:uid="{00000000-0010-0000-0800-00000A000000}" name="Fecha"/>
    <tableColumn id="11" xr3:uid="{00000000-0010-0000-0800-00000B000000}" name="Enlace / reserv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9000000}" name="T_Riesgos" displayName="T_Riesgos" ref="A5:K18" totalsRowShown="0">
  <tableColumns count="11">
    <tableColumn id="1" xr3:uid="{00000000-0010-0000-0900-000001000000}" name="ID"/>
    <tableColumn id="2" xr3:uid="{00000000-0010-0000-0900-000002000000}" name="Riesgo"/>
    <tableColumn id="3" xr3:uid="{00000000-0010-0000-0900-000003000000}" name="Dueño rol"/>
    <tableColumn id="4" xr3:uid="{00000000-0010-0000-0900-000004000000}" name="Impacto"/>
    <tableColumn id="5" xr3:uid="{00000000-0010-0000-0900-000005000000}" name="Señal / disparador"/>
    <tableColumn id="6" xr3:uid="{00000000-0010-0000-0900-000006000000}" name="Respuesta propuesta"/>
    <tableColumn id="7" xr3:uid="{00000000-0010-0000-0900-000007000000}" name="Decisión vinculada"/>
    <tableColumn id="8" xr3:uid="{00000000-0010-0000-0900-000008000000}" name="Dueño nominal"/>
    <tableColumn id="9" xr3:uid="{00000000-0010-0000-0900-000009000000}" name="Fecha acción"/>
    <tableColumn id="10" xr3:uid="{00000000-0010-0000-0900-00000A000000}" name="Estado"/>
    <tableColumn id="11" xr3:uid="{00000000-0010-0000-0900-00000B000000}" name="Evidenc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T_Capacidad" displayName="T_Capacidad" ref="A5:J19" totalsRowShown="0">
  <tableColumns count="10">
    <tableColumn id="1" xr3:uid="{00000000-0010-0000-0A00-000001000000}" name="Código"/>
    <tableColumn id="2" xr3:uid="{00000000-0010-0000-0A00-000002000000}" name="Rol"/>
    <tableColumn id="3" xr3:uid="{00000000-0010-0000-0A00-000003000000}" name="Organización"/>
    <tableColumn id="4" xr3:uid="{00000000-0010-0000-0A00-000004000000}" name="Resultado del rol"/>
    <tableColumn id="5" xr3:uid="{00000000-0010-0000-0A00-000005000000}" name="h/sem mínimo"/>
    <tableColumn id="6" xr3:uid="{00000000-0010-0000-0A00-000006000000}" name="h/sem máximo"/>
    <tableColumn id="7" xr3:uid="{00000000-0010-0000-0A00-000007000000}" name="Cantidad personas"/>
    <tableColumn id="8" xr3:uid="{00000000-0010-0000-0A00-000008000000}" name="Reserva mínima h"/>
    <tableColumn id="9" xr3:uid="{00000000-0010-0000-0A00-000009000000}" name="Reserva máxima h"/>
    <tableColumn id="10" xr3:uid="{00000000-0010-0000-0A00-00000A000000}" name="No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Gobierno" displayName="T_Gobierno" ref="A5:E12" totalsRowShown="0">
  <tableColumns count="5">
    <tableColumn id="1" xr3:uid="{00000000-0010-0000-0B00-000001000000}" name="Persona"/>
    <tableColumn id="2" xr3:uid="{00000000-0010-0000-0B00-000002000000}" name="Cargo informado"/>
    <tableColumn id="3" xr3:uid="{00000000-0010-0000-0B00-000003000000}" name="Función propuesta"/>
    <tableColumn id="4" xr3:uid="{00000000-0010-0000-0B00-000004000000}" name="Estado"/>
    <tableColumn id="5" xr3:uid="{00000000-0010-0000-0B00-000005000000}" name="Facultad por acorda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C000000}" name="T_Fuentes" displayName="T_Fuentes" ref="A5:E37" totalsRowShown="0">
  <tableColumns count="5">
    <tableColumn id="1" xr3:uid="{00000000-0010-0000-0C00-000001000000}" name="ID"/>
    <tableColumn id="2" xr3:uid="{00000000-0010-0000-0C00-000002000000}" name="Fuente"/>
    <tableColumn id="3" xr3:uid="{00000000-0010-0000-0C00-000003000000}" name="Corte"/>
    <tableColumn id="4" xr3:uid="{00000000-0010-0000-0C00-000004000000}" name="Uso / límites"/>
    <tableColumn id="5" xr3:uid="{00000000-0010-0000-0C00-000005000000}" name="Ub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tabSelected="1" workbookViewId="0"/>
  </sheetViews>
  <sheetFormatPr baseColWidth="10" defaultColWidth="9" defaultRowHeight="14.25"/>
  <cols>
    <col min="1" max="1" width="46.25" bestFit="1" customWidth="1"/>
    <col min="2" max="2" width="100" customWidth="1"/>
    <col min="3" max="6" width="12" customWidth="1"/>
  </cols>
  <sheetData>
    <row r="1" spans="1:6" ht="20.25">
      <c r="A1" s="22"/>
      <c r="B1" s="22"/>
      <c r="C1" s="12"/>
      <c r="D1" s="12"/>
      <c r="E1" s="12"/>
      <c r="F1" s="12"/>
    </row>
    <row r="2" spans="1:6" ht="24.95" customHeight="1">
      <c r="A2" s="23" t="s">
        <v>0</v>
      </c>
      <c r="B2" s="22"/>
      <c r="C2" s="12"/>
      <c r="D2" s="12"/>
      <c r="E2" s="12"/>
      <c r="F2" s="12"/>
    </row>
    <row r="3" spans="1:6" ht="20.25">
      <c r="A3" s="22"/>
      <c r="B3" s="22"/>
      <c r="C3" s="12"/>
      <c r="D3" s="12"/>
      <c r="E3" s="12"/>
      <c r="F3" s="12"/>
    </row>
    <row r="4" spans="1:6" ht="24.95" customHeight="1">
      <c r="A4" s="22" t="s">
        <v>1</v>
      </c>
      <c r="B4" s="22" t="s">
        <v>2</v>
      </c>
      <c r="C4" s="12"/>
      <c r="D4" s="12"/>
      <c r="E4" s="12"/>
      <c r="F4" s="12"/>
    </row>
    <row r="5" spans="1:6" ht="24.95" customHeight="1">
      <c r="A5" s="22" t="s">
        <v>3</v>
      </c>
      <c r="B5" s="22" t="s">
        <v>4</v>
      </c>
      <c r="C5" s="12"/>
      <c r="D5" s="12"/>
      <c r="E5" s="12"/>
      <c r="F5" s="12"/>
    </row>
    <row r="6" spans="1:6" ht="24.95" customHeight="1">
      <c r="A6" s="22" t="s">
        <v>5</v>
      </c>
      <c r="B6" s="22" t="s">
        <v>6</v>
      </c>
      <c r="C6" s="12"/>
      <c r="D6" s="12"/>
      <c r="E6" s="12"/>
      <c r="F6" s="12"/>
    </row>
    <row r="7" spans="1:6" ht="20.25">
      <c r="A7" s="22"/>
      <c r="B7" s="22"/>
      <c r="C7" s="12"/>
      <c r="D7" s="12"/>
      <c r="E7" s="12"/>
      <c r="F7" s="12"/>
    </row>
    <row r="8" spans="1:6" ht="24.95" customHeight="1">
      <c r="A8" s="24" t="s">
        <v>7</v>
      </c>
      <c r="B8" s="24" t="s">
        <v>8</v>
      </c>
      <c r="C8" s="12"/>
      <c r="D8" s="12"/>
      <c r="E8" s="12"/>
      <c r="F8" s="12"/>
    </row>
    <row r="9" spans="1:6" ht="24.95" customHeight="1">
      <c r="A9" s="22" t="s">
        <v>9</v>
      </c>
      <c r="B9" s="22">
        <f>COUNTA(Asignaciones!A6:A15)</f>
        <v>10</v>
      </c>
      <c r="C9" s="12"/>
      <c r="D9" s="12"/>
      <c r="E9" s="12"/>
      <c r="F9" s="12"/>
    </row>
    <row r="10" spans="1:6" ht="24.95" customHeight="1">
      <c r="A10" s="22" t="s">
        <v>10</v>
      </c>
      <c r="B10" s="22">
        <f>COUNTIF(Asignaciones!O6:O15,"Equipo confirmado")</f>
        <v>0</v>
      </c>
      <c r="C10" s="12"/>
      <c r="D10" s="12"/>
      <c r="E10" s="12"/>
      <c r="F10" s="12"/>
    </row>
    <row r="11" spans="1:6" ht="24.95" customHeight="1">
      <c r="A11" s="22" t="s">
        <v>11</v>
      </c>
      <c r="B11" s="22">
        <f>COUNTA(WBS!A6:A121)</f>
        <v>116</v>
      </c>
      <c r="C11" s="12"/>
      <c r="D11" s="12"/>
      <c r="E11" s="12"/>
      <c r="F11" s="12"/>
    </row>
    <row r="12" spans="1:6" ht="24.95" customHeight="1">
      <c r="A12" s="22" t="s">
        <v>12</v>
      </c>
      <c r="B12" s="22">
        <f>COUNTIF(WBS!P6:P121,"Cierre documentado")</f>
        <v>0</v>
      </c>
      <c r="C12" s="12"/>
      <c r="D12" s="12"/>
      <c r="E12" s="12"/>
      <c r="F12" s="12"/>
    </row>
    <row r="13" spans="1:6" ht="24.95" customHeight="1">
      <c r="A13" s="22" t="s">
        <v>13</v>
      </c>
      <c r="B13" s="22">
        <f>COUNTA(UAT!A6:A38)</f>
        <v>33</v>
      </c>
      <c r="C13" s="12"/>
      <c r="D13" s="12"/>
      <c r="E13" s="12"/>
      <c r="F13" s="12"/>
    </row>
    <row r="14" spans="1:6" ht="24.95" customHeight="1">
      <c r="A14" s="22" t="s">
        <v>14</v>
      </c>
      <c r="B14" s="22">
        <f>COUNTIF(UAT!V6:V38,"Ejecución aceptada")</f>
        <v>0</v>
      </c>
      <c r="C14" s="12"/>
      <c r="D14" s="12"/>
      <c r="E14" s="12"/>
      <c r="F14" s="12"/>
    </row>
    <row r="15" spans="1:6" ht="24.95" customHeight="1">
      <c r="A15" s="22" t="s">
        <v>1168</v>
      </c>
      <c r="B15" s="22">
        <f>COUNTIF(Formacion!H6:H28,"No evaluado")</f>
        <v>23</v>
      </c>
      <c r="C15" s="12"/>
      <c r="D15" s="12"/>
      <c r="E15" s="12"/>
      <c r="F15" s="12"/>
    </row>
    <row r="16" spans="1:6" ht="24.95" customHeight="1">
      <c r="A16" s="22" t="s">
        <v>15</v>
      </c>
      <c r="B16" s="22">
        <f>COUNTIF(Decisiones!E6:E19,"Sin decidir")+COUNTIF(Decisiones!E6:E19,"En análisis")</f>
        <v>14</v>
      </c>
      <c r="C16" s="12"/>
      <c r="D16" s="12"/>
      <c r="E16" s="12"/>
      <c r="F16" s="12"/>
    </row>
    <row r="17" spans="1:6" ht="20.25">
      <c r="A17" s="22"/>
      <c r="B17" s="22"/>
      <c r="C17" s="12"/>
      <c r="D17" s="12"/>
      <c r="E17" s="12"/>
      <c r="F17" s="12"/>
    </row>
    <row r="18" spans="1:6" ht="20.25">
      <c r="A18" s="22"/>
      <c r="B18" s="22"/>
      <c r="C18" s="12"/>
      <c r="D18" s="12"/>
      <c r="E18" s="12"/>
      <c r="F18" s="12"/>
    </row>
    <row r="19" spans="1:6" ht="24.95" customHeight="1">
      <c r="A19" s="22" t="s">
        <v>16</v>
      </c>
      <c r="B19" s="22" t="s">
        <v>17</v>
      </c>
      <c r="C19" s="12"/>
      <c r="D19" s="12"/>
      <c r="E19" s="12"/>
      <c r="F19" s="12"/>
    </row>
    <row r="20" spans="1:6" ht="24.95" customHeight="1">
      <c r="A20" s="22"/>
      <c r="B20" s="22"/>
      <c r="C20" s="12"/>
      <c r="D20" s="12"/>
      <c r="E20" s="12"/>
      <c r="F20" s="12"/>
    </row>
    <row r="21" spans="1:6" ht="24.95" customHeight="1">
      <c r="A21" s="22" t="s">
        <v>18</v>
      </c>
      <c r="B21" s="22" t="s">
        <v>19</v>
      </c>
      <c r="C21" s="12"/>
      <c r="D21" s="12"/>
      <c r="E21" s="12"/>
      <c r="F21" s="12"/>
    </row>
    <row r="22" spans="1:6" ht="24.95" customHeight="1">
      <c r="A22" s="22"/>
      <c r="B22" s="22" t="s">
        <v>20</v>
      </c>
      <c r="C22" s="12"/>
      <c r="D22" s="12"/>
      <c r="E22" s="12"/>
      <c r="F22" s="12"/>
    </row>
    <row r="23" spans="1:6" ht="24.95" customHeight="1">
      <c r="A23" s="22"/>
      <c r="B23" s="22" t="s">
        <v>1169</v>
      </c>
      <c r="C23" s="12"/>
      <c r="D23" s="12"/>
      <c r="E23" s="12"/>
      <c r="F23" s="12"/>
    </row>
    <row r="24" spans="1:6" ht="24.95" customHeight="1">
      <c r="A24" s="22"/>
      <c r="B24" s="22" t="s">
        <v>21</v>
      </c>
      <c r="C24" s="12"/>
      <c r="D24" s="12"/>
      <c r="E24" s="12"/>
      <c r="F24" s="12"/>
    </row>
    <row r="25" spans="1:6" ht="24.95" customHeight="1">
      <c r="A25" s="22"/>
      <c r="B25" s="22" t="s">
        <v>22</v>
      </c>
      <c r="C25" s="12"/>
      <c r="D25" s="12"/>
      <c r="E25" s="12"/>
      <c r="F25" s="12"/>
    </row>
    <row r="26" spans="1:6">
      <c r="A26" s="12"/>
      <c r="B26" s="12"/>
      <c r="C26" s="12"/>
      <c r="D26" s="12"/>
      <c r="E26" s="12"/>
      <c r="F26" s="12"/>
    </row>
    <row r="27" spans="1:6">
      <c r="A27" s="12"/>
      <c r="B27" s="12"/>
      <c r="C27" s="12"/>
      <c r="D27" s="12"/>
      <c r="E27" s="12"/>
      <c r="F27" s="12"/>
    </row>
    <row r="28" spans="1:6">
      <c r="A28" s="12"/>
      <c r="B28" s="12"/>
      <c r="C28" s="12"/>
      <c r="D28" s="12"/>
      <c r="E28" s="12"/>
      <c r="F28" s="12"/>
    </row>
    <row r="29" spans="1:6">
      <c r="A29" s="12"/>
      <c r="B29" s="12"/>
      <c r="C29" s="12"/>
      <c r="D29" s="12"/>
      <c r="E29" s="12"/>
      <c r="F2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showGridLines="0" zoomScale="115" zoomScaleNormal="115" workbookViewId="0">
      <pane xSplit="2" ySplit="5" topLeftCell="C6" activePane="bottomRight" state="frozen"/>
      <selection pane="topRight"/>
      <selection pane="bottomLeft"/>
      <selection pane="bottomRight" activeCell="B9" sqref="B9"/>
    </sheetView>
  </sheetViews>
  <sheetFormatPr baseColWidth="10" defaultColWidth="9" defaultRowHeight="14.25"/>
  <cols>
    <col min="1" max="1" width="10" customWidth="1"/>
    <col min="2" max="2" width="34" customWidth="1"/>
    <col min="3" max="3" width="6.5" bestFit="1" customWidth="1"/>
    <col min="4" max="4" width="30" customWidth="1"/>
    <col min="5" max="5" width="42" customWidth="1"/>
    <col min="6" max="8" width="28" customWidth="1"/>
    <col min="9" max="9" width="17" customWidth="1"/>
    <col min="10" max="10" width="18" customWidth="1"/>
    <col min="11" max="11" width="32" customWidth="1"/>
    <col min="12" max="12" width="19" customWidth="1"/>
    <col min="13" max="13" width="27" customWidth="1"/>
    <col min="14" max="14" width="18" customWidth="1"/>
    <col min="15" max="15" width="32" customWidth="1"/>
    <col min="16" max="16" width="29" customWidth="1"/>
    <col min="17" max="17" width="2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.95" customHeight="1">
      <c r="A2" s="2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0.100000000000001" customHeight="1">
      <c r="A3" s="3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9.950000000000003" customHeight="1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</row>
    <row r="6" spans="1:17" ht="35.1" customHeight="1">
      <c r="A6" s="38" t="s">
        <v>42</v>
      </c>
      <c r="B6" s="38" t="s">
        <v>43</v>
      </c>
      <c r="C6" s="38" t="s">
        <v>44</v>
      </c>
      <c r="D6" s="5" t="s">
        <v>45</v>
      </c>
      <c r="E6" s="5" t="s">
        <v>46</v>
      </c>
      <c r="F6" s="7"/>
      <c r="G6" s="7"/>
      <c r="H6" s="7"/>
      <c r="I6" s="9"/>
      <c r="J6" s="9"/>
      <c r="K6" s="7"/>
      <c r="L6" s="7" t="s">
        <v>47</v>
      </c>
      <c r="M6" s="7"/>
      <c r="N6" s="8"/>
      <c r="O6" s="5" t="str">
        <f t="shared" ref="O6:O15" si="0">IF(C6&lt;&gt;"B1","Fuera de B1",IF(AND(F6&lt;&gt;"",G6&lt;&gt;"",H6&lt;&gt;"",ISNUMBER(I6),I6&gt;0,ISNUMBER(J6),J6&gt;0,K6&lt;&gt;"",L6="Confirmado",M6&lt;&gt;"",ISNUMBER(N6),P6&lt;&gt;"",Q6="Confirmado"),"Equipo confirmado","Falta compromiso nominal"))</f>
        <v>Falta compromiso nominal</v>
      </c>
      <c r="P6" s="7"/>
      <c r="Q6" s="7" t="s">
        <v>47</v>
      </c>
    </row>
    <row r="7" spans="1:17" ht="35.1" customHeight="1">
      <c r="A7" s="39" t="s">
        <v>48</v>
      </c>
      <c r="B7" s="39" t="s">
        <v>49</v>
      </c>
      <c r="C7" s="39" t="s">
        <v>44</v>
      </c>
      <c r="D7" s="6" t="s">
        <v>50</v>
      </c>
      <c r="E7" s="6" t="s">
        <v>51</v>
      </c>
      <c r="F7" s="7" t="s">
        <v>1262</v>
      </c>
      <c r="G7" s="7"/>
      <c r="H7" s="7"/>
      <c r="I7" s="9"/>
      <c r="J7" s="9"/>
      <c r="K7" s="7"/>
      <c r="L7" s="7" t="s">
        <v>47</v>
      </c>
      <c r="M7" s="7"/>
      <c r="N7" s="8"/>
      <c r="O7" s="6" t="str">
        <f t="shared" si="0"/>
        <v>Falta compromiso nominal</v>
      </c>
      <c r="P7" s="7"/>
      <c r="Q7" s="7" t="s">
        <v>47</v>
      </c>
    </row>
    <row r="8" spans="1:17" ht="35.1" customHeight="1">
      <c r="A8" s="38" t="s">
        <v>52</v>
      </c>
      <c r="B8" s="38" t="s">
        <v>53</v>
      </c>
      <c r="C8" s="38" t="s">
        <v>44</v>
      </c>
      <c r="D8" s="5" t="s">
        <v>54</v>
      </c>
      <c r="E8" s="25" t="s">
        <v>55</v>
      </c>
      <c r="F8" s="35" t="s">
        <v>1263</v>
      </c>
      <c r="G8" s="7"/>
      <c r="H8" s="7"/>
      <c r="I8" s="9"/>
      <c r="J8" s="9"/>
      <c r="K8" s="7"/>
      <c r="L8" s="7" t="s">
        <v>47</v>
      </c>
      <c r="M8" s="7"/>
      <c r="N8" s="8"/>
      <c r="O8" s="5" t="str">
        <f t="shared" si="0"/>
        <v>Falta compromiso nominal</v>
      </c>
      <c r="P8" s="7"/>
      <c r="Q8" s="7" t="s">
        <v>47</v>
      </c>
    </row>
    <row r="9" spans="1:17" ht="38.25">
      <c r="A9" s="39" t="s">
        <v>56</v>
      </c>
      <c r="B9" s="39" t="s">
        <v>57</v>
      </c>
      <c r="C9" s="39" t="s">
        <v>44</v>
      </c>
      <c r="D9" s="6" t="s">
        <v>58</v>
      </c>
      <c r="E9" s="26" t="s">
        <v>59</v>
      </c>
      <c r="F9" s="35" t="s">
        <v>1270</v>
      </c>
      <c r="G9" s="7" t="s">
        <v>1271</v>
      </c>
      <c r="H9" s="7"/>
      <c r="I9" s="9"/>
      <c r="J9" s="9"/>
      <c r="K9" s="7"/>
      <c r="L9" s="7" t="s">
        <v>47</v>
      </c>
      <c r="M9" s="7"/>
      <c r="N9" s="8"/>
      <c r="O9" s="6" t="str">
        <f t="shared" si="0"/>
        <v>Falta compromiso nominal</v>
      </c>
      <c r="P9" s="7"/>
      <c r="Q9" s="7" t="s">
        <v>47</v>
      </c>
    </row>
    <row r="10" spans="1:17" ht="63.75">
      <c r="A10" s="38" t="s">
        <v>60</v>
      </c>
      <c r="B10" s="38" t="s">
        <v>61</v>
      </c>
      <c r="C10" s="38" t="s">
        <v>44</v>
      </c>
      <c r="D10" s="5" t="s">
        <v>54</v>
      </c>
      <c r="E10" s="25" t="s">
        <v>59</v>
      </c>
      <c r="F10" s="35" t="s">
        <v>1264</v>
      </c>
      <c r="G10" s="7"/>
      <c r="H10" s="7"/>
      <c r="I10" s="9"/>
      <c r="J10" s="9"/>
      <c r="K10" s="7"/>
      <c r="L10" s="7" t="s">
        <v>47</v>
      </c>
      <c r="M10" s="7"/>
      <c r="N10" s="8"/>
      <c r="O10" s="5" t="str">
        <f t="shared" si="0"/>
        <v>Falta compromiso nominal</v>
      </c>
      <c r="P10" s="7"/>
      <c r="Q10" s="7" t="s">
        <v>47</v>
      </c>
    </row>
    <row r="11" spans="1:17" ht="48.6" customHeight="1">
      <c r="A11" s="39" t="s">
        <v>62</v>
      </c>
      <c r="B11" s="39" t="s">
        <v>63</v>
      </c>
      <c r="C11" s="39" t="s">
        <v>44</v>
      </c>
      <c r="D11" s="6" t="s">
        <v>64</v>
      </c>
      <c r="E11" s="6" t="s">
        <v>65</v>
      </c>
      <c r="F11" s="35" t="s">
        <v>1265</v>
      </c>
      <c r="G11" s="7"/>
      <c r="H11" s="7"/>
      <c r="I11" s="9"/>
      <c r="J11" s="9"/>
      <c r="K11" s="7"/>
      <c r="L11" s="7" t="s">
        <v>47</v>
      </c>
      <c r="M11" s="7"/>
      <c r="N11" s="8"/>
      <c r="O11" s="6" t="str">
        <f t="shared" si="0"/>
        <v>Falta compromiso nominal</v>
      </c>
      <c r="P11" s="7"/>
      <c r="Q11" s="7" t="s">
        <v>47</v>
      </c>
    </row>
    <row r="12" spans="1:17" ht="35.1" customHeight="1">
      <c r="A12" s="38" t="s">
        <v>66</v>
      </c>
      <c r="B12" s="38" t="s">
        <v>67</v>
      </c>
      <c r="C12" s="38" t="s">
        <v>44</v>
      </c>
      <c r="D12" s="5" t="s">
        <v>68</v>
      </c>
      <c r="E12" s="25" t="s">
        <v>69</v>
      </c>
      <c r="F12" s="35" t="s">
        <v>1266</v>
      </c>
      <c r="G12" s="7"/>
      <c r="H12" s="7"/>
      <c r="I12" s="9"/>
      <c r="J12" s="9"/>
      <c r="K12" s="7"/>
      <c r="L12" s="7" t="s">
        <v>47</v>
      </c>
      <c r="M12" s="7"/>
      <c r="N12" s="8"/>
      <c r="O12" s="5" t="str">
        <f t="shared" si="0"/>
        <v>Falta compromiso nominal</v>
      </c>
      <c r="P12" s="7"/>
      <c r="Q12" s="7" t="s">
        <v>47</v>
      </c>
    </row>
    <row r="13" spans="1:17" ht="35.1" customHeight="1">
      <c r="A13" s="39" t="s">
        <v>70</v>
      </c>
      <c r="B13" s="39" t="s">
        <v>71</v>
      </c>
      <c r="C13" s="39" t="s">
        <v>44</v>
      </c>
      <c r="D13" s="6" t="s">
        <v>72</v>
      </c>
      <c r="E13" s="26" t="s">
        <v>73</v>
      </c>
      <c r="F13" s="35" t="s">
        <v>1267</v>
      </c>
      <c r="G13" s="7"/>
      <c r="H13" s="7"/>
      <c r="I13" s="9"/>
      <c r="J13" s="9"/>
      <c r="K13" s="7"/>
      <c r="L13" s="7" t="s">
        <v>47</v>
      </c>
      <c r="M13" s="7"/>
      <c r="N13" s="8"/>
      <c r="O13" s="6" t="str">
        <f t="shared" si="0"/>
        <v>Falta compromiso nominal</v>
      </c>
      <c r="P13" s="7"/>
      <c r="Q13" s="7" t="s">
        <v>47</v>
      </c>
    </row>
    <row r="14" spans="1:17" ht="35.1" customHeight="1">
      <c r="A14" s="38" t="s">
        <v>74</v>
      </c>
      <c r="B14" s="38" t="s">
        <v>75</v>
      </c>
      <c r="C14" s="38" t="s">
        <v>44</v>
      </c>
      <c r="D14" s="5" t="s">
        <v>76</v>
      </c>
      <c r="E14" s="5" t="s">
        <v>77</v>
      </c>
      <c r="F14" s="35" t="s">
        <v>1268</v>
      </c>
      <c r="G14" s="7"/>
      <c r="H14" s="7"/>
      <c r="I14" s="9"/>
      <c r="J14" s="9"/>
      <c r="K14" s="7"/>
      <c r="L14" s="7" t="s">
        <v>47</v>
      </c>
      <c r="M14" s="7"/>
      <c r="N14" s="8"/>
      <c r="O14" s="5" t="str">
        <f t="shared" si="0"/>
        <v>Falta compromiso nominal</v>
      </c>
      <c r="P14" s="7"/>
      <c r="Q14" s="7" t="s">
        <v>47</v>
      </c>
    </row>
    <row r="15" spans="1:17" ht="35.1" customHeight="1">
      <c r="A15" s="39" t="s">
        <v>78</v>
      </c>
      <c r="B15" s="39" t="s">
        <v>79</v>
      </c>
      <c r="C15" s="39" t="s">
        <v>44</v>
      </c>
      <c r="D15" s="6" t="s">
        <v>80</v>
      </c>
      <c r="E15" s="26" t="s">
        <v>81</v>
      </c>
      <c r="F15" s="35" t="s">
        <v>1269</v>
      </c>
      <c r="G15" s="7"/>
      <c r="H15" s="7"/>
      <c r="I15" s="9"/>
      <c r="J15" s="9"/>
      <c r="K15" s="7"/>
      <c r="L15" s="7" t="s">
        <v>47</v>
      </c>
      <c r="M15" s="7"/>
      <c r="N15" s="8"/>
      <c r="O15" s="6" t="str">
        <f t="shared" si="0"/>
        <v>Falta compromiso nominal</v>
      </c>
      <c r="P15" s="7"/>
      <c r="Q15" s="7" t="s">
        <v>47</v>
      </c>
    </row>
  </sheetData>
  <conditionalFormatting sqref="O6:O15">
    <cfRule type="containsText" dxfId="5" priority="1" operator="containsText" text="Falta"/>
  </conditionalFormatting>
  <dataValidations count="2">
    <dataValidation type="list" sqref="C6:C15" xr:uid="{00000000-0002-0000-0100-000000000000}">
      <formula1>"B1,B2,B3,Excluido"</formula1>
    </dataValidation>
    <dataValidation type="list" sqref="L6:L15 Q6:Q15" xr:uid="{00000000-0002-0000-0100-000001000000}">
      <formula1>"Sin confirmar,Confirmado"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showGridLines="0" zoomScaleNormal="100" workbookViewId="0">
      <pane xSplit="2" ySplit="5" topLeftCell="C87" activePane="bottomRight" state="frozen"/>
      <selection pane="topRight"/>
      <selection pane="bottomLeft"/>
      <selection pane="bottomRight" activeCell="B122" sqref="B122"/>
    </sheetView>
  </sheetViews>
  <sheetFormatPr baseColWidth="10" defaultColWidth="9" defaultRowHeight="14.25"/>
  <cols>
    <col min="1" max="1" width="9.5" customWidth="1"/>
    <col min="2" max="2" width="13.375" customWidth="1"/>
    <col min="3" max="3" width="24.625" customWidth="1"/>
    <col min="4" max="4" width="35.5" customWidth="1"/>
    <col min="5" max="6" width="5.25" customWidth="1"/>
    <col min="7" max="7" width="26.5" customWidth="1"/>
    <col min="8" max="8" width="24.25" customWidth="1"/>
    <col min="9" max="9" width="53.625" customWidth="1"/>
    <col min="10" max="10" width="20" customWidth="1"/>
    <col min="11" max="11" width="27" customWidth="1"/>
    <col min="12" max="12" width="17" customWidth="1"/>
    <col min="13" max="13" width="38" customWidth="1"/>
    <col min="14" max="14" width="27" customWidth="1"/>
    <col min="15" max="15" width="18" customWidth="1"/>
    <col min="16" max="16" width="33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4.95" customHeight="1">
      <c r="A2" s="2" t="s">
        <v>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0.100000000000001" customHeight="1">
      <c r="A3" s="3" t="s">
        <v>83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9.950000000000003" customHeight="1">
      <c r="A5" s="4" t="s">
        <v>84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89</v>
      </c>
      <c r="G5" s="4" t="s">
        <v>90</v>
      </c>
      <c r="H5" s="4" t="s">
        <v>91</v>
      </c>
      <c r="I5" s="4" t="s">
        <v>92</v>
      </c>
      <c r="J5" s="4" t="s">
        <v>93</v>
      </c>
      <c r="K5" s="4" t="s">
        <v>94</v>
      </c>
      <c r="L5" s="4" t="s">
        <v>95</v>
      </c>
      <c r="M5" s="4" t="s">
        <v>96</v>
      </c>
      <c r="N5" s="4" t="s">
        <v>97</v>
      </c>
      <c r="O5" s="4" t="s">
        <v>38</v>
      </c>
      <c r="P5" s="4" t="s">
        <v>98</v>
      </c>
    </row>
    <row r="6" spans="1:16" ht="25.5">
      <c r="A6" s="5" t="s">
        <v>99</v>
      </c>
      <c r="B6" s="5" t="s">
        <v>100</v>
      </c>
      <c r="C6" s="5" t="s">
        <v>101</v>
      </c>
      <c r="D6" s="5" t="s">
        <v>102</v>
      </c>
      <c r="E6" s="10" t="s">
        <v>103</v>
      </c>
      <c r="F6" s="10" t="s">
        <v>104</v>
      </c>
      <c r="G6" s="5"/>
      <c r="H6" s="5" t="s">
        <v>105</v>
      </c>
      <c r="I6" s="5" t="s">
        <v>106</v>
      </c>
      <c r="J6" s="7" t="s">
        <v>107</v>
      </c>
      <c r="K6" s="7"/>
      <c r="L6" s="8"/>
      <c r="M6" s="7"/>
      <c r="N6" s="7"/>
      <c r="O6" s="8"/>
      <c r="P6" s="5" t="str">
        <f t="shared" ref="P6:P37" si="0">IF(J6="Cerrado",IF(AND(K6&lt;&gt;"",M6&lt;&gt;"",N6&lt;&gt;"",ISNUMBER(O6)),"Cierre documentado","Falta evidencia o aceptación"),"Pendiente")</f>
        <v>Pendiente</v>
      </c>
    </row>
    <row r="7" spans="1:16" ht="25.5">
      <c r="A7" s="6" t="s">
        <v>108</v>
      </c>
      <c r="B7" s="6" t="s">
        <v>100</v>
      </c>
      <c r="C7" s="6" t="s">
        <v>109</v>
      </c>
      <c r="D7" s="6" t="s">
        <v>110</v>
      </c>
      <c r="E7" s="11" t="s">
        <v>111</v>
      </c>
      <c r="F7" s="11" t="s">
        <v>104</v>
      </c>
      <c r="G7" s="6" t="s">
        <v>99</v>
      </c>
      <c r="H7" s="6" t="s">
        <v>112</v>
      </c>
      <c r="I7" s="6" t="s">
        <v>113</v>
      </c>
      <c r="J7" s="7" t="s">
        <v>107</v>
      </c>
      <c r="K7" s="7"/>
      <c r="L7" s="8"/>
      <c r="M7" s="7"/>
      <c r="N7" s="7"/>
      <c r="O7" s="8"/>
      <c r="P7" s="6" t="str">
        <f t="shared" si="0"/>
        <v>Pendiente</v>
      </c>
    </row>
    <row r="8" spans="1:16" ht="25.5">
      <c r="A8" s="5" t="s">
        <v>114</v>
      </c>
      <c r="B8" s="5" t="s">
        <v>100</v>
      </c>
      <c r="C8" s="5" t="s">
        <v>115</v>
      </c>
      <c r="D8" s="5" t="s">
        <v>116</v>
      </c>
      <c r="E8" s="10" t="s">
        <v>111</v>
      </c>
      <c r="F8" s="10" t="s">
        <v>104</v>
      </c>
      <c r="G8" s="5" t="s">
        <v>108</v>
      </c>
      <c r="H8" s="5" t="s">
        <v>112</v>
      </c>
      <c r="I8" s="5" t="s">
        <v>117</v>
      </c>
      <c r="J8" s="7" t="s">
        <v>107</v>
      </c>
      <c r="K8" s="7"/>
      <c r="L8" s="8"/>
      <c r="M8" s="7"/>
      <c r="N8" s="7"/>
      <c r="O8" s="8"/>
      <c r="P8" s="5" t="str">
        <f t="shared" si="0"/>
        <v>Pendiente</v>
      </c>
    </row>
    <row r="9" spans="1:16" ht="25.5">
      <c r="A9" s="6" t="s">
        <v>118</v>
      </c>
      <c r="B9" s="6" t="s">
        <v>100</v>
      </c>
      <c r="C9" s="6" t="s">
        <v>119</v>
      </c>
      <c r="D9" s="6" t="s">
        <v>120</v>
      </c>
      <c r="E9" s="11" t="s">
        <v>111</v>
      </c>
      <c r="F9" s="11" t="s">
        <v>104</v>
      </c>
      <c r="G9" s="6" t="s">
        <v>108</v>
      </c>
      <c r="H9" s="6" t="s">
        <v>121</v>
      </c>
      <c r="I9" s="6" t="s">
        <v>122</v>
      </c>
      <c r="J9" s="7" t="s">
        <v>107</v>
      </c>
      <c r="K9" s="7"/>
      <c r="L9" s="8"/>
      <c r="M9" s="7"/>
      <c r="N9" s="7"/>
      <c r="O9" s="8"/>
      <c r="P9" s="6" t="str">
        <f t="shared" si="0"/>
        <v>Pendiente</v>
      </c>
    </row>
    <row r="10" spans="1:16" ht="25.5">
      <c r="A10" s="5" t="s">
        <v>123</v>
      </c>
      <c r="B10" s="5" t="s">
        <v>100</v>
      </c>
      <c r="C10" s="5" t="s">
        <v>124</v>
      </c>
      <c r="D10" s="5" t="s">
        <v>125</v>
      </c>
      <c r="E10" s="10" t="s">
        <v>111</v>
      </c>
      <c r="F10" s="10" t="s">
        <v>104</v>
      </c>
      <c r="G10" s="5" t="s">
        <v>126</v>
      </c>
      <c r="H10" s="5" t="s">
        <v>121</v>
      </c>
      <c r="I10" s="5" t="s">
        <v>127</v>
      </c>
      <c r="J10" s="7" t="s">
        <v>107</v>
      </c>
      <c r="K10" s="7"/>
      <c r="L10" s="8"/>
      <c r="M10" s="7"/>
      <c r="N10" s="7"/>
      <c r="O10" s="8"/>
      <c r="P10" s="5" t="str">
        <f t="shared" si="0"/>
        <v>Pendiente</v>
      </c>
    </row>
    <row r="11" spans="1:16" ht="25.5">
      <c r="A11" s="6" t="s">
        <v>128</v>
      </c>
      <c r="B11" s="6" t="s">
        <v>100</v>
      </c>
      <c r="C11" s="6" t="s">
        <v>129</v>
      </c>
      <c r="D11" s="6" t="s">
        <v>130</v>
      </c>
      <c r="E11" s="11" t="s">
        <v>111</v>
      </c>
      <c r="F11" s="11" t="s">
        <v>104</v>
      </c>
      <c r="G11" s="6" t="s">
        <v>131</v>
      </c>
      <c r="H11" s="6" t="s">
        <v>132</v>
      </c>
      <c r="I11" s="6" t="s">
        <v>133</v>
      </c>
      <c r="J11" s="7" t="s">
        <v>107</v>
      </c>
      <c r="K11" s="7"/>
      <c r="L11" s="8"/>
      <c r="M11" s="7"/>
      <c r="N11" s="7"/>
      <c r="O11" s="8"/>
      <c r="P11" s="6" t="str">
        <f t="shared" si="0"/>
        <v>Pendiente</v>
      </c>
    </row>
    <row r="12" spans="1:16">
      <c r="A12" s="5" t="s">
        <v>134</v>
      </c>
      <c r="B12" s="5" t="s">
        <v>100</v>
      </c>
      <c r="C12" s="5" t="s">
        <v>135</v>
      </c>
      <c r="D12" s="5" t="s">
        <v>136</v>
      </c>
      <c r="E12" s="10" t="s">
        <v>137</v>
      </c>
      <c r="F12" s="10" t="s">
        <v>138</v>
      </c>
      <c r="G12" s="5" t="s">
        <v>128</v>
      </c>
      <c r="H12" s="5" t="s">
        <v>139</v>
      </c>
      <c r="I12" s="5" t="s">
        <v>140</v>
      </c>
      <c r="J12" s="7" t="s">
        <v>107</v>
      </c>
      <c r="K12" s="7"/>
      <c r="L12" s="8"/>
      <c r="M12" s="7"/>
      <c r="N12" s="7"/>
      <c r="O12" s="8"/>
      <c r="P12" s="5" t="str">
        <f t="shared" si="0"/>
        <v>Pendiente</v>
      </c>
    </row>
    <row r="13" spans="1:16" ht="25.5">
      <c r="A13" s="6" t="s">
        <v>141</v>
      </c>
      <c r="B13" s="6" t="s">
        <v>100</v>
      </c>
      <c r="C13" s="6" t="s">
        <v>142</v>
      </c>
      <c r="D13" s="6" t="s">
        <v>143</v>
      </c>
      <c r="E13" s="11" t="s">
        <v>144</v>
      </c>
      <c r="F13" s="11" t="s">
        <v>138</v>
      </c>
      <c r="G13" s="6" t="s">
        <v>134</v>
      </c>
      <c r="H13" s="6" t="s">
        <v>139</v>
      </c>
      <c r="I13" s="6" t="s">
        <v>145</v>
      </c>
      <c r="J13" s="7" t="s">
        <v>107</v>
      </c>
      <c r="K13" s="7"/>
      <c r="L13" s="8"/>
      <c r="M13" s="7"/>
      <c r="N13" s="7"/>
      <c r="O13" s="8"/>
      <c r="P13" s="6" t="str">
        <f t="shared" si="0"/>
        <v>Pendiente</v>
      </c>
    </row>
    <row r="14" spans="1:16" ht="25.5">
      <c r="A14" s="5" t="s">
        <v>146</v>
      </c>
      <c r="B14" s="5" t="s">
        <v>100</v>
      </c>
      <c r="C14" s="5" t="s">
        <v>147</v>
      </c>
      <c r="D14" s="5" t="s">
        <v>148</v>
      </c>
      <c r="E14" s="10" t="s">
        <v>144</v>
      </c>
      <c r="F14" s="10" t="s">
        <v>144</v>
      </c>
      <c r="G14" s="5" t="s">
        <v>128</v>
      </c>
      <c r="H14" s="5" t="s">
        <v>149</v>
      </c>
      <c r="I14" s="5" t="s">
        <v>150</v>
      </c>
      <c r="J14" s="7" t="s">
        <v>107</v>
      </c>
      <c r="K14" s="7"/>
      <c r="L14" s="8"/>
      <c r="M14" s="7"/>
      <c r="N14" s="7"/>
      <c r="O14" s="8"/>
      <c r="P14" s="5" t="str">
        <f t="shared" si="0"/>
        <v>Pendiente</v>
      </c>
    </row>
    <row r="15" spans="1:16" ht="25.5">
      <c r="A15" s="6" t="s">
        <v>151</v>
      </c>
      <c r="B15" s="6" t="s">
        <v>100</v>
      </c>
      <c r="C15" s="6" t="s">
        <v>152</v>
      </c>
      <c r="D15" s="6" t="s">
        <v>153</v>
      </c>
      <c r="E15" s="11" t="s">
        <v>137</v>
      </c>
      <c r="F15" s="11" t="s">
        <v>138</v>
      </c>
      <c r="G15" s="6" t="s">
        <v>154</v>
      </c>
      <c r="H15" s="6" t="s">
        <v>155</v>
      </c>
      <c r="I15" s="6" t="s">
        <v>156</v>
      </c>
      <c r="J15" s="7" t="s">
        <v>107</v>
      </c>
      <c r="K15" s="7"/>
      <c r="L15" s="8"/>
      <c r="M15" s="7"/>
      <c r="N15" s="7"/>
      <c r="O15" s="8"/>
      <c r="P15" s="6" t="str">
        <f t="shared" si="0"/>
        <v>Pendiente</v>
      </c>
    </row>
    <row r="16" spans="1:16" ht="25.5">
      <c r="A16" s="5" t="s">
        <v>157</v>
      </c>
      <c r="B16" s="5" t="s">
        <v>100</v>
      </c>
      <c r="C16" s="5" t="s">
        <v>158</v>
      </c>
      <c r="D16" s="5" t="s">
        <v>159</v>
      </c>
      <c r="E16" s="10" t="s">
        <v>103</v>
      </c>
      <c r="F16" s="10" t="s">
        <v>103</v>
      </c>
      <c r="G16" s="5" t="s">
        <v>128</v>
      </c>
      <c r="H16" s="5" t="s">
        <v>121</v>
      </c>
      <c r="I16" s="5" t="s">
        <v>160</v>
      </c>
      <c r="J16" s="7" t="s">
        <v>107</v>
      </c>
      <c r="K16" s="7"/>
      <c r="L16" s="8"/>
      <c r="M16" s="7"/>
      <c r="N16" s="7"/>
      <c r="O16" s="8"/>
      <c r="P16" s="5" t="str">
        <f t="shared" si="0"/>
        <v>Pendiente</v>
      </c>
    </row>
    <row r="17" spans="1:16" ht="25.5">
      <c r="A17" s="6" t="s">
        <v>161</v>
      </c>
      <c r="B17" s="6" t="s">
        <v>100</v>
      </c>
      <c r="C17" s="6" t="s">
        <v>162</v>
      </c>
      <c r="D17" s="6" t="s">
        <v>163</v>
      </c>
      <c r="E17" s="11" t="s">
        <v>144</v>
      </c>
      <c r="F17" s="11" t="s">
        <v>144</v>
      </c>
      <c r="G17" s="6" t="s">
        <v>164</v>
      </c>
      <c r="H17" s="6" t="s">
        <v>165</v>
      </c>
      <c r="I17" s="6" t="s">
        <v>166</v>
      </c>
      <c r="J17" s="7" t="s">
        <v>107</v>
      </c>
      <c r="K17" s="7"/>
      <c r="L17" s="8"/>
      <c r="M17" s="7"/>
      <c r="N17" s="7"/>
      <c r="O17" s="8"/>
      <c r="P17" s="6" t="str">
        <f t="shared" si="0"/>
        <v>Pendiente</v>
      </c>
    </row>
    <row r="18" spans="1:16" ht="25.5">
      <c r="A18" s="5" t="s">
        <v>167</v>
      </c>
      <c r="B18" s="5" t="s">
        <v>100</v>
      </c>
      <c r="C18" s="5" t="s">
        <v>168</v>
      </c>
      <c r="D18" s="5" t="s">
        <v>169</v>
      </c>
      <c r="E18" s="10" t="s">
        <v>170</v>
      </c>
      <c r="F18" s="10" t="s">
        <v>104</v>
      </c>
      <c r="G18" s="5" t="s">
        <v>118</v>
      </c>
      <c r="H18" s="5" t="s">
        <v>165</v>
      </c>
      <c r="I18" s="5" t="s">
        <v>171</v>
      </c>
      <c r="J18" s="7" t="s">
        <v>107</v>
      </c>
      <c r="K18" s="7"/>
      <c r="L18" s="8"/>
      <c r="M18" s="7"/>
      <c r="N18" s="7"/>
      <c r="O18" s="8"/>
      <c r="P18" s="5" t="str">
        <f t="shared" si="0"/>
        <v>Pendiente</v>
      </c>
    </row>
    <row r="19" spans="1:16" ht="25.5">
      <c r="A19" s="6" t="s">
        <v>172</v>
      </c>
      <c r="B19" s="6" t="s">
        <v>100</v>
      </c>
      <c r="C19" s="6" t="s">
        <v>173</v>
      </c>
      <c r="D19" s="6" t="s">
        <v>174</v>
      </c>
      <c r="E19" s="11" t="s">
        <v>175</v>
      </c>
      <c r="F19" s="11" t="s">
        <v>103</v>
      </c>
      <c r="G19" s="6" t="s">
        <v>176</v>
      </c>
      <c r="H19" s="6" t="s">
        <v>177</v>
      </c>
      <c r="I19" s="6" t="s">
        <v>178</v>
      </c>
      <c r="J19" s="7" t="s">
        <v>107</v>
      </c>
      <c r="K19" s="7"/>
      <c r="L19" s="8"/>
      <c r="M19" s="7"/>
      <c r="N19" s="7"/>
      <c r="O19" s="8"/>
      <c r="P19" s="6" t="str">
        <f t="shared" si="0"/>
        <v>Pendiente</v>
      </c>
    </row>
    <row r="20" spans="1:16" ht="25.5">
      <c r="A20" s="5" t="s">
        <v>179</v>
      </c>
      <c r="B20" s="5" t="s">
        <v>100</v>
      </c>
      <c r="C20" s="5" t="s">
        <v>180</v>
      </c>
      <c r="D20" s="5" t="s">
        <v>181</v>
      </c>
      <c r="E20" s="10" t="s">
        <v>137</v>
      </c>
      <c r="F20" s="10" t="s">
        <v>138</v>
      </c>
      <c r="G20" s="5" t="s">
        <v>172</v>
      </c>
      <c r="H20" s="5" t="s">
        <v>182</v>
      </c>
      <c r="I20" s="5" t="s">
        <v>183</v>
      </c>
      <c r="J20" s="7" t="s">
        <v>107</v>
      </c>
      <c r="K20" s="7"/>
      <c r="L20" s="8"/>
      <c r="M20" s="7"/>
      <c r="N20" s="7"/>
      <c r="O20" s="8"/>
      <c r="P20" s="5" t="str">
        <f t="shared" si="0"/>
        <v>Pendiente</v>
      </c>
    </row>
    <row r="21" spans="1:16" ht="25.5">
      <c r="A21" s="6" t="s">
        <v>184</v>
      </c>
      <c r="B21" s="6" t="s">
        <v>60</v>
      </c>
      <c r="C21" s="6" t="s">
        <v>185</v>
      </c>
      <c r="D21" s="6" t="s">
        <v>186</v>
      </c>
      <c r="E21" s="11" t="s">
        <v>137</v>
      </c>
      <c r="F21" s="11" t="s">
        <v>138</v>
      </c>
      <c r="G21" s="6" t="s">
        <v>187</v>
      </c>
      <c r="H21" s="6" t="s">
        <v>188</v>
      </c>
      <c r="I21" s="6" t="s">
        <v>189</v>
      </c>
      <c r="J21" s="7" t="s">
        <v>107</v>
      </c>
      <c r="K21" s="7"/>
      <c r="L21" s="8"/>
      <c r="M21" s="7"/>
      <c r="N21" s="7"/>
      <c r="O21" s="8"/>
      <c r="P21" s="6" t="str">
        <f t="shared" si="0"/>
        <v>Pendiente</v>
      </c>
    </row>
    <row r="22" spans="1:16" ht="25.5">
      <c r="A22" s="5" t="s">
        <v>190</v>
      </c>
      <c r="B22" s="5" t="s">
        <v>100</v>
      </c>
      <c r="C22" s="5" t="s">
        <v>191</v>
      </c>
      <c r="D22" s="5" t="s">
        <v>192</v>
      </c>
      <c r="E22" s="10" t="s">
        <v>137</v>
      </c>
      <c r="F22" s="10" t="s">
        <v>138</v>
      </c>
      <c r="G22" s="5" t="s">
        <v>179</v>
      </c>
      <c r="H22" s="5" t="s">
        <v>193</v>
      </c>
      <c r="I22" s="5" t="s">
        <v>194</v>
      </c>
      <c r="J22" s="7" t="s">
        <v>107</v>
      </c>
      <c r="K22" s="7"/>
      <c r="L22" s="8"/>
      <c r="M22" s="7"/>
      <c r="N22" s="7"/>
      <c r="O22" s="8"/>
      <c r="P22" s="5" t="str">
        <f t="shared" si="0"/>
        <v>Pendiente</v>
      </c>
    </row>
    <row r="23" spans="1:16" ht="25.5">
      <c r="A23" s="6" t="s">
        <v>195</v>
      </c>
      <c r="B23" s="6" t="s">
        <v>62</v>
      </c>
      <c r="C23" s="6" t="s">
        <v>196</v>
      </c>
      <c r="D23" s="6" t="s">
        <v>197</v>
      </c>
      <c r="E23" s="11" t="s">
        <v>144</v>
      </c>
      <c r="F23" s="11" t="s">
        <v>144</v>
      </c>
      <c r="G23" s="6" t="s">
        <v>198</v>
      </c>
      <c r="H23" s="6" t="s">
        <v>199</v>
      </c>
      <c r="I23" s="6" t="s">
        <v>200</v>
      </c>
      <c r="J23" s="7" t="s">
        <v>107</v>
      </c>
      <c r="K23" s="7"/>
      <c r="L23" s="8"/>
      <c r="M23" s="7"/>
      <c r="N23" s="7"/>
      <c r="O23" s="8"/>
      <c r="P23" s="6" t="str">
        <f t="shared" si="0"/>
        <v>Pendiente</v>
      </c>
    </row>
    <row r="24" spans="1:16" ht="25.5">
      <c r="A24" s="5" t="s">
        <v>201</v>
      </c>
      <c r="B24" s="5" t="s">
        <v>74</v>
      </c>
      <c r="C24" s="5" t="s">
        <v>202</v>
      </c>
      <c r="D24" s="5" t="s">
        <v>203</v>
      </c>
      <c r="E24" s="10" t="s">
        <v>103</v>
      </c>
      <c r="F24" s="10" t="s">
        <v>103</v>
      </c>
      <c r="G24" s="5" t="s">
        <v>204</v>
      </c>
      <c r="H24" s="5" t="s">
        <v>205</v>
      </c>
      <c r="I24" s="5" t="s">
        <v>206</v>
      </c>
      <c r="J24" s="7" t="s">
        <v>107</v>
      </c>
      <c r="K24" s="7"/>
      <c r="L24" s="8"/>
      <c r="M24" s="7"/>
      <c r="N24" s="7"/>
      <c r="O24" s="8"/>
      <c r="P24" s="5" t="str">
        <f t="shared" si="0"/>
        <v>Pendiente</v>
      </c>
    </row>
    <row r="25" spans="1:16" ht="25.5">
      <c r="A25" s="6" t="s">
        <v>207</v>
      </c>
      <c r="B25" s="6" t="s">
        <v>60</v>
      </c>
      <c r="C25" s="6" t="s">
        <v>208</v>
      </c>
      <c r="D25" s="6" t="s">
        <v>209</v>
      </c>
      <c r="E25" s="11" t="s">
        <v>137</v>
      </c>
      <c r="F25" s="11" t="s">
        <v>138</v>
      </c>
      <c r="G25" s="6" t="s">
        <v>210</v>
      </c>
      <c r="H25" s="6" t="s">
        <v>211</v>
      </c>
      <c r="I25" s="6" t="s">
        <v>212</v>
      </c>
      <c r="J25" s="7" t="s">
        <v>107</v>
      </c>
      <c r="K25" s="7"/>
      <c r="L25" s="8"/>
      <c r="M25" s="7"/>
      <c r="N25" s="7"/>
      <c r="O25" s="8"/>
      <c r="P25" s="6" t="str">
        <f t="shared" si="0"/>
        <v>Pendiente</v>
      </c>
    </row>
    <row r="26" spans="1:16" ht="25.5">
      <c r="A26" s="5" t="s">
        <v>213</v>
      </c>
      <c r="B26" s="5" t="s">
        <v>62</v>
      </c>
      <c r="C26" s="5" t="s">
        <v>214</v>
      </c>
      <c r="D26" s="5" t="s">
        <v>215</v>
      </c>
      <c r="E26" s="10" t="s">
        <v>175</v>
      </c>
      <c r="F26" s="10" t="s">
        <v>103</v>
      </c>
      <c r="G26" s="5" t="s">
        <v>216</v>
      </c>
      <c r="H26" s="5" t="s">
        <v>217</v>
      </c>
      <c r="I26" s="5" t="s">
        <v>218</v>
      </c>
      <c r="J26" s="7" t="s">
        <v>107</v>
      </c>
      <c r="K26" s="7"/>
      <c r="L26" s="8"/>
      <c r="M26" s="7"/>
      <c r="N26" s="7"/>
      <c r="O26" s="8"/>
      <c r="P26" s="5" t="str">
        <f t="shared" si="0"/>
        <v>Pendiente</v>
      </c>
    </row>
    <row r="27" spans="1:16" ht="25.5">
      <c r="A27" s="6" t="s">
        <v>219</v>
      </c>
      <c r="B27" s="6" t="s">
        <v>66</v>
      </c>
      <c r="C27" s="6" t="s">
        <v>220</v>
      </c>
      <c r="D27" s="6" t="s">
        <v>221</v>
      </c>
      <c r="E27" s="11" t="s">
        <v>137</v>
      </c>
      <c r="F27" s="11" t="s">
        <v>138</v>
      </c>
      <c r="G27" s="6" t="s">
        <v>222</v>
      </c>
      <c r="H27" s="6" t="s">
        <v>223</v>
      </c>
      <c r="I27" s="6" t="s">
        <v>224</v>
      </c>
      <c r="J27" s="7" t="s">
        <v>107</v>
      </c>
      <c r="K27" s="7"/>
      <c r="L27" s="8"/>
      <c r="M27" s="7"/>
      <c r="N27" s="7"/>
      <c r="O27" s="8"/>
      <c r="P27" s="6" t="str">
        <f t="shared" si="0"/>
        <v>Pendiente</v>
      </c>
    </row>
    <row r="28" spans="1:16" ht="25.5">
      <c r="A28" s="5" t="s">
        <v>225</v>
      </c>
      <c r="B28" s="5" t="s">
        <v>78</v>
      </c>
      <c r="C28" s="5" t="s">
        <v>226</v>
      </c>
      <c r="D28" s="5" t="s">
        <v>227</v>
      </c>
      <c r="E28" s="10" t="s">
        <v>144</v>
      </c>
      <c r="F28" s="10" t="s">
        <v>144</v>
      </c>
      <c r="G28" s="5" t="s">
        <v>164</v>
      </c>
      <c r="H28" s="5" t="s">
        <v>228</v>
      </c>
      <c r="I28" s="5" t="s">
        <v>229</v>
      </c>
      <c r="J28" s="7" t="s">
        <v>107</v>
      </c>
      <c r="K28" s="7"/>
      <c r="L28" s="8"/>
      <c r="M28" s="7"/>
      <c r="N28" s="7"/>
      <c r="O28" s="8"/>
      <c r="P28" s="5" t="str">
        <f t="shared" si="0"/>
        <v>Pendiente</v>
      </c>
    </row>
    <row r="29" spans="1:16" ht="25.5">
      <c r="A29" s="6" t="s">
        <v>230</v>
      </c>
      <c r="B29" s="6" t="s">
        <v>48</v>
      </c>
      <c r="C29" s="6" t="s">
        <v>231</v>
      </c>
      <c r="D29" s="6" t="s">
        <v>232</v>
      </c>
      <c r="E29" s="11" t="s">
        <v>137</v>
      </c>
      <c r="F29" s="11" t="s">
        <v>138</v>
      </c>
      <c r="G29" s="6" t="s">
        <v>233</v>
      </c>
      <c r="H29" s="6" t="s">
        <v>234</v>
      </c>
      <c r="I29" s="6" t="s">
        <v>235</v>
      </c>
      <c r="J29" s="7" t="s">
        <v>107</v>
      </c>
      <c r="K29" s="7"/>
      <c r="L29" s="8"/>
      <c r="M29" s="7"/>
      <c r="N29" s="7"/>
      <c r="O29" s="8"/>
      <c r="P29" s="6" t="str">
        <f t="shared" si="0"/>
        <v>Pendiente</v>
      </c>
    </row>
    <row r="30" spans="1:16" ht="38.25">
      <c r="A30" s="5" t="s">
        <v>236</v>
      </c>
      <c r="B30" s="5" t="s">
        <v>42</v>
      </c>
      <c r="C30" s="5" t="s">
        <v>237</v>
      </c>
      <c r="D30" s="5" t="s">
        <v>238</v>
      </c>
      <c r="E30" s="10" t="s">
        <v>111</v>
      </c>
      <c r="F30" s="10" t="s">
        <v>138</v>
      </c>
      <c r="G30" s="5" t="s">
        <v>134</v>
      </c>
      <c r="H30" s="5" t="s">
        <v>239</v>
      </c>
      <c r="I30" s="5" t="s">
        <v>240</v>
      </c>
      <c r="J30" s="7" t="s">
        <v>107</v>
      </c>
      <c r="K30" s="7"/>
      <c r="L30" s="8"/>
      <c r="M30" s="7"/>
      <c r="N30" s="7"/>
      <c r="O30" s="8"/>
      <c r="P30" s="5" t="str">
        <f t="shared" si="0"/>
        <v>Pendiente</v>
      </c>
    </row>
    <row r="31" spans="1:16" ht="25.5">
      <c r="A31" s="6" t="s">
        <v>241</v>
      </c>
      <c r="B31" s="6" t="s">
        <v>42</v>
      </c>
      <c r="C31" s="6" t="s">
        <v>242</v>
      </c>
      <c r="D31" s="6" t="s">
        <v>243</v>
      </c>
      <c r="E31" s="11" t="s">
        <v>137</v>
      </c>
      <c r="F31" s="11" t="s">
        <v>138</v>
      </c>
      <c r="G31" s="6" t="s">
        <v>244</v>
      </c>
      <c r="H31" s="6" t="s">
        <v>245</v>
      </c>
      <c r="I31" s="6" t="s">
        <v>246</v>
      </c>
      <c r="J31" s="7" t="s">
        <v>107</v>
      </c>
      <c r="K31" s="7"/>
      <c r="L31" s="8"/>
      <c r="M31" s="7"/>
      <c r="N31" s="7"/>
      <c r="O31" s="8"/>
      <c r="P31" s="6" t="str">
        <f t="shared" si="0"/>
        <v>Pendiente</v>
      </c>
    </row>
    <row r="32" spans="1:16" ht="25.5">
      <c r="A32" s="5" t="s">
        <v>247</v>
      </c>
      <c r="B32" s="5" t="s">
        <v>42</v>
      </c>
      <c r="C32" s="5" t="s">
        <v>248</v>
      </c>
      <c r="D32" s="5" t="s">
        <v>249</v>
      </c>
      <c r="E32" s="10" t="s">
        <v>137</v>
      </c>
      <c r="F32" s="10" t="s">
        <v>138</v>
      </c>
      <c r="G32" s="5" t="s">
        <v>241</v>
      </c>
      <c r="H32" s="5" t="s">
        <v>245</v>
      </c>
      <c r="I32" s="5" t="s">
        <v>250</v>
      </c>
      <c r="J32" s="7" t="s">
        <v>107</v>
      </c>
      <c r="K32" s="7"/>
      <c r="L32" s="8"/>
      <c r="M32" s="7"/>
      <c r="N32" s="7"/>
      <c r="O32" s="8"/>
      <c r="P32" s="5" t="str">
        <f t="shared" si="0"/>
        <v>Pendiente</v>
      </c>
    </row>
    <row r="33" spans="1:16" ht="38.25">
      <c r="A33" s="6" t="s">
        <v>251</v>
      </c>
      <c r="B33" s="6" t="s">
        <v>42</v>
      </c>
      <c r="C33" s="6" t="s">
        <v>252</v>
      </c>
      <c r="D33" s="6" t="s">
        <v>253</v>
      </c>
      <c r="E33" s="11" t="s">
        <v>254</v>
      </c>
      <c r="F33" s="11" t="s">
        <v>103</v>
      </c>
      <c r="G33" s="6" t="s">
        <v>1170</v>
      </c>
      <c r="H33" s="6" t="s">
        <v>245</v>
      </c>
      <c r="I33" s="6" t="s">
        <v>255</v>
      </c>
      <c r="J33" s="7" t="s">
        <v>107</v>
      </c>
      <c r="K33" s="7"/>
      <c r="L33" s="8"/>
      <c r="M33" s="7"/>
      <c r="N33" s="7"/>
      <c r="O33" s="8"/>
      <c r="P33" s="6" t="str">
        <f t="shared" si="0"/>
        <v>Pendiente</v>
      </c>
    </row>
    <row r="34" spans="1:16" ht="25.5">
      <c r="A34" s="5" t="s">
        <v>256</v>
      </c>
      <c r="B34" s="5" t="s">
        <v>42</v>
      </c>
      <c r="C34" s="5" t="s">
        <v>257</v>
      </c>
      <c r="D34" s="5" t="s">
        <v>258</v>
      </c>
      <c r="E34" s="10" t="s">
        <v>137</v>
      </c>
      <c r="F34" s="10" t="s">
        <v>138</v>
      </c>
      <c r="G34" s="5" t="s">
        <v>251</v>
      </c>
      <c r="H34" s="5" t="s">
        <v>245</v>
      </c>
      <c r="I34" s="5" t="s">
        <v>259</v>
      </c>
      <c r="J34" s="7" t="s">
        <v>107</v>
      </c>
      <c r="K34" s="7"/>
      <c r="L34" s="8"/>
      <c r="M34" s="7"/>
      <c r="N34" s="7"/>
      <c r="O34" s="8"/>
      <c r="P34" s="5" t="str">
        <f t="shared" si="0"/>
        <v>Pendiente</v>
      </c>
    </row>
    <row r="35" spans="1:16" ht="51">
      <c r="A35" s="6" t="s">
        <v>260</v>
      </c>
      <c r="B35" s="6" t="s">
        <v>42</v>
      </c>
      <c r="C35" s="6" t="s">
        <v>261</v>
      </c>
      <c r="D35" s="6" t="s">
        <v>262</v>
      </c>
      <c r="E35" s="11" t="s">
        <v>137</v>
      </c>
      <c r="F35" s="11" t="s">
        <v>138</v>
      </c>
      <c r="G35" s="6" t="s">
        <v>263</v>
      </c>
      <c r="H35" s="6" t="s">
        <v>245</v>
      </c>
      <c r="I35" s="6" t="s">
        <v>264</v>
      </c>
      <c r="J35" s="7" t="s">
        <v>107</v>
      </c>
      <c r="K35" s="7"/>
      <c r="L35" s="8"/>
      <c r="M35" s="7"/>
      <c r="N35" s="7"/>
      <c r="O35" s="8"/>
      <c r="P35" s="6" t="str">
        <f t="shared" si="0"/>
        <v>Pendiente</v>
      </c>
    </row>
    <row r="36" spans="1:16" ht="25.5">
      <c r="A36" s="5" t="s">
        <v>265</v>
      </c>
      <c r="B36" s="5" t="s">
        <v>42</v>
      </c>
      <c r="C36" s="5" t="s">
        <v>266</v>
      </c>
      <c r="D36" s="5" t="s">
        <v>267</v>
      </c>
      <c r="E36" s="10" t="s">
        <v>137</v>
      </c>
      <c r="F36" s="10" t="s">
        <v>138</v>
      </c>
      <c r="G36" s="5" t="s">
        <v>268</v>
      </c>
      <c r="H36" s="5" t="s">
        <v>269</v>
      </c>
      <c r="I36" s="5" t="s">
        <v>270</v>
      </c>
      <c r="J36" s="7" t="s">
        <v>107</v>
      </c>
      <c r="K36" s="7"/>
      <c r="L36" s="8"/>
      <c r="M36" s="7"/>
      <c r="N36" s="7"/>
      <c r="O36" s="8"/>
      <c r="P36" s="5" t="str">
        <f t="shared" si="0"/>
        <v>Pendiente</v>
      </c>
    </row>
    <row r="37" spans="1:16" ht="38.25">
      <c r="A37" s="6" t="s">
        <v>271</v>
      </c>
      <c r="B37" s="6" t="s">
        <v>42</v>
      </c>
      <c r="C37" s="6" t="s">
        <v>272</v>
      </c>
      <c r="D37" s="6" t="s">
        <v>273</v>
      </c>
      <c r="E37" s="11" t="s">
        <v>137</v>
      </c>
      <c r="F37" s="11" t="s">
        <v>138</v>
      </c>
      <c r="G37" s="6" t="s">
        <v>1171</v>
      </c>
      <c r="H37" s="6" t="s">
        <v>274</v>
      </c>
      <c r="I37" s="6" t="s">
        <v>275</v>
      </c>
      <c r="J37" s="7" t="s">
        <v>107</v>
      </c>
      <c r="K37" s="7"/>
      <c r="L37" s="8"/>
      <c r="M37" s="7"/>
      <c r="N37" s="7"/>
      <c r="O37" s="8"/>
      <c r="P37" s="6" t="str">
        <f t="shared" si="0"/>
        <v>Pendiente</v>
      </c>
    </row>
    <row r="38" spans="1:16" ht="25.5">
      <c r="A38" s="5" t="s">
        <v>276</v>
      </c>
      <c r="B38" s="5" t="s">
        <v>42</v>
      </c>
      <c r="C38" s="5" t="s">
        <v>277</v>
      </c>
      <c r="D38" s="5" t="s">
        <v>278</v>
      </c>
      <c r="E38" s="10" t="s">
        <v>137</v>
      </c>
      <c r="F38" s="10" t="s">
        <v>138</v>
      </c>
      <c r="G38" s="5" t="s">
        <v>271</v>
      </c>
      <c r="H38" s="5" t="s">
        <v>274</v>
      </c>
      <c r="I38" s="5" t="s">
        <v>279</v>
      </c>
      <c r="J38" s="7" t="s">
        <v>107</v>
      </c>
      <c r="K38" s="7"/>
      <c r="L38" s="8"/>
      <c r="M38" s="7"/>
      <c r="N38" s="7"/>
      <c r="O38" s="8"/>
      <c r="P38" s="5" t="str">
        <f t="shared" ref="P38:P69" si="1">IF(J38="Cerrado",IF(AND(K38&lt;&gt;"",M38&lt;&gt;"",N38&lt;&gt;"",ISNUMBER(O38)),"Cierre documentado","Falta evidencia o aceptación"),"Pendiente")</f>
        <v>Pendiente</v>
      </c>
    </row>
    <row r="39" spans="1:16" ht="38.25">
      <c r="A39" s="6" t="s">
        <v>280</v>
      </c>
      <c r="B39" s="6" t="s">
        <v>48</v>
      </c>
      <c r="C39" s="6" t="s">
        <v>242</v>
      </c>
      <c r="D39" s="6" t="s">
        <v>281</v>
      </c>
      <c r="E39" s="11" t="s">
        <v>137</v>
      </c>
      <c r="F39" s="11" t="s">
        <v>138</v>
      </c>
      <c r="G39" s="6" t="s">
        <v>244</v>
      </c>
      <c r="H39" s="6" t="s">
        <v>245</v>
      </c>
      <c r="I39" s="6" t="s">
        <v>246</v>
      </c>
      <c r="J39" s="7" t="s">
        <v>107</v>
      </c>
      <c r="K39" s="7"/>
      <c r="L39" s="8"/>
      <c r="M39" s="7"/>
      <c r="N39" s="7"/>
      <c r="O39" s="8"/>
      <c r="P39" s="6" t="str">
        <f t="shared" si="1"/>
        <v>Pendiente</v>
      </c>
    </row>
    <row r="40" spans="1:16" ht="25.5">
      <c r="A40" s="5" t="s">
        <v>233</v>
      </c>
      <c r="B40" s="5" t="s">
        <v>48</v>
      </c>
      <c r="C40" s="5" t="s">
        <v>248</v>
      </c>
      <c r="D40" s="5" t="s">
        <v>282</v>
      </c>
      <c r="E40" s="10" t="s">
        <v>137</v>
      </c>
      <c r="F40" s="10" t="s">
        <v>138</v>
      </c>
      <c r="G40" s="5" t="s">
        <v>280</v>
      </c>
      <c r="H40" s="5" t="s">
        <v>245</v>
      </c>
      <c r="I40" s="5" t="s">
        <v>250</v>
      </c>
      <c r="J40" s="7" t="s">
        <v>107</v>
      </c>
      <c r="K40" s="7"/>
      <c r="L40" s="8"/>
      <c r="M40" s="7"/>
      <c r="N40" s="7"/>
      <c r="O40" s="8"/>
      <c r="P40" s="5" t="str">
        <f t="shared" si="1"/>
        <v>Pendiente</v>
      </c>
    </row>
    <row r="41" spans="1:16" ht="38.25">
      <c r="A41" s="6" t="s">
        <v>283</v>
      </c>
      <c r="B41" s="6" t="s">
        <v>48</v>
      </c>
      <c r="C41" s="6" t="s">
        <v>252</v>
      </c>
      <c r="D41" s="6" t="s">
        <v>284</v>
      </c>
      <c r="E41" s="11" t="s">
        <v>254</v>
      </c>
      <c r="F41" s="11" t="s">
        <v>103</v>
      </c>
      <c r="G41" s="6" t="s">
        <v>1172</v>
      </c>
      <c r="H41" s="6" t="s">
        <v>245</v>
      </c>
      <c r="I41" s="6" t="s">
        <v>255</v>
      </c>
      <c r="J41" s="7" t="s">
        <v>107</v>
      </c>
      <c r="K41" s="7"/>
      <c r="L41" s="8"/>
      <c r="M41" s="7"/>
      <c r="N41" s="7"/>
      <c r="O41" s="8"/>
      <c r="P41" s="6" t="str">
        <f t="shared" si="1"/>
        <v>Pendiente</v>
      </c>
    </row>
    <row r="42" spans="1:16" ht="25.5">
      <c r="A42" s="5" t="s">
        <v>285</v>
      </c>
      <c r="B42" s="5" t="s">
        <v>48</v>
      </c>
      <c r="C42" s="5" t="s">
        <v>257</v>
      </c>
      <c r="D42" s="5" t="s">
        <v>286</v>
      </c>
      <c r="E42" s="10" t="s">
        <v>137</v>
      </c>
      <c r="F42" s="10" t="s">
        <v>138</v>
      </c>
      <c r="G42" s="5" t="s">
        <v>283</v>
      </c>
      <c r="H42" s="5" t="s">
        <v>245</v>
      </c>
      <c r="I42" s="5" t="s">
        <v>259</v>
      </c>
      <c r="J42" s="7" t="s">
        <v>107</v>
      </c>
      <c r="K42" s="7"/>
      <c r="L42" s="8"/>
      <c r="M42" s="7"/>
      <c r="N42" s="7"/>
      <c r="O42" s="8"/>
      <c r="P42" s="5" t="str">
        <f t="shared" si="1"/>
        <v>Pendiente</v>
      </c>
    </row>
    <row r="43" spans="1:16" ht="38.25">
      <c r="A43" s="6" t="s">
        <v>287</v>
      </c>
      <c r="B43" s="6" t="s">
        <v>48</v>
      </c>
      <c r="C43" s="6" t="s">
        <v>261</v>
      </c>
      <c r="D43" s="6" t="s">
        <v>288</v>
      </c>
      <c r="E43" s="11" t="s">
        <v>137</v>
      </c>
      <c r="F43" s="11" t="s">
        <v>138</v>
      </c>
      <c r="G43" s="6" t="s">
        <v>289</v>
      </c>
      <c r="H43" s="6" t="s">
        <v>245</v>
      </c>
      <c r="I43" s="6" t="s">
        <v>264</v>
      </c>
      <c r="J43" s="7" t="s">
        <v>107</v>
      </c>
      <c r="K43" s="7"/>
      <c r="L43" s="8"/>
      <c r="M43" s="7"/>
      <c r="N43" s="7"/>
      <c r="O43" s="8"/>
      <c r="P43" s="6" t="str">
        <f t="shared" si="1"/>
        <v>Pendiente</v>
      </c>
    </row>
    <row r="44" spans="1:16" ht="25.5">
      <c r="A44" s="5" t="s">
        <v>290</v>
      </c>
      <c r="B44" s="5" t="s">
        <v>48</v>
      </c>
      <c r="C44" s="5" t="s">
        <v>266</v>
      </c>
      <c r="D44" s="5" t="s">
        <v>291</v>
      </c>
      <c r="E44" s="10" t="s">
        <v>137</v>
      </c>
      <c r="F44" s="10" t="s">
        <v>138</v>
      </c>
      <c r="G44" s="5" t="s">
        <v>292</v>
      </c>
      <c r="H44" s="5" t="s">
        <v>269</v>
      </c>
      <c r="I44" s="5" t="s">
        <v>270</v>
      </c>
      <c r="J44" s="7" t="s">
        <v>107</v>
      </c>
      <c r="K44" s="7"/>
      <c r="L44" s="8"/>
      <c r="M44" s="7"/>
      <c r="N44" s="7"/>
      <c r="O44" s="8"/>
      <c r="P44" s="5" t="str">
        <f t="shared" si="1"/>
        <v>Pendiente</v>
      </c>
    </row>
    <row r="45" spans="1:16" ht="38.25">
      <c r="A45" s="6" t="s">
        <v>293</v>
      </c>
      <c r="B45" s="6" t="s">
        <v>48</v>
      </c>
      <c r="C45" s="6" t="s">
        <v>272</v>
      </c>
      <c r="D45" s="6" t="s">
        <v>294</v>
      </c>
      <c r="E45" s="11" t="s">
        <v>137</v>
      </c>
      <c r="F45" s="11" t="s">
        <v>138</v>
      </c>
      <c r="G45" s="6" t="s">
        <v>1173</v>
      </c>
      <c r="H45" s="6" t="s">
        <v>274</v>
      </c>
      <c r="I45" s="6" t="s">
        <v>275</v>
      </c>
      <c r="J45" s="7" t="s">
        <v>107</v>
      </c>
      <c r="K45" s="7"/>
      <c r="L45" s="8"/>
      <c r="M45" s="7"/>
      <c r="N45" s="7"/>
      <c r="O45" s="8"/>
      <c r="P45" s="6" t="str">
        <f t="shared" si="1"/>
        <v>Pendiente</v>
      </c>
    </row>
    <row r="46" spans="1:16" ht="25.5">
      <c r="A46" s="5" t="s">
        <v>295</v>
      </c>
      <c r="B46" s="5" t="s">
        <v>48</v>
      </c>
      <c r="C46" s="5" t="s">
        <v>277</v>
      </c>
      <c r="D46" s="5" t="s">
        <v>278</v>
      </c>
      <c r="E46" s="10" t="s">
        <v>137</v>
      </c>
      <c r="F46" s="10" t="s">
        <v>138</v>
      </c>
      <c r="G46" s="5" t="s">
        <v>293</v>
      </c>
      <c r="H46" s="5" t="s">
        <v>274</v>
      </c>
      <c r="I46" s="5" t="s">
        <v>279</v>
      </c>
      <c r="J46" s="7" t="s">
        <v>107</v>
      </c>
      <c r="K46" s="7"/>
      <c r="L46" s="8"/>
      <c r="M46" s="7"/>
      <c r="N46" s="7"/>
      <c r="O46" s="8"/>
      <c r="P46" s="5" t="str">
        <f t="shared" si="1"/>
        <v>Pendiente</v>
      </c>
    </row>
    <row r="47" spans="1:16" ht="25.5">
      <c r="A47" s="6" t="s">
        <v>296</v>
      </c>
      <c r="B47" s="6" t="s">
        <v>52</v>
      </c>
      <c r="C47" s="6" t="s">
        <v>242</v>
      </c>
      <c r="D47" s="6" t="s">
        <v>297</v>
      </c>
      <c r="E47" s="11" t="s">
        <v>137</v>
      </c>
      <c r="F47" s="11" t="s">
        <v>138</v>
      </c>
      <c r="G47" s="6" t="s">
        <v>298</v>
      </c>
      <c r="H47" s="6" t="s">
        <v>245</v>
      </c>
      <c r="I47" s="6" t="s">
        <v>246</v>
      </c>
      <c r="J47" s="7" t="s">
        <v>107</v>
      </c>
      <c r="K47" s="7"/>
      <c r="L47" s="8"/>
      <c r="M47" s="7"/>
      <c r="N47" s="7"/>
      <c r="O47" s="8"/>
      <c r="P47" s="6" t="str">
        <f t="shared" si="1"/>
        <v>Pendiente</v>
      </c>
    </row>
    <row r="48" spans="1:16" ht="25.5">
      <c r="A48" s="5" t="s">
        <v>299</v>
      </c>
      <c r="B48" s="5" t="s">
        <v>52</v>
      </c>
      <c r="C48" s="5" t="s">
        <v>248</v>
      </c>
      <c r="D48" s="5" t="s">
        <v>300</v>
      </c>
      <c r="E48" s="10" t="s">
        <v>137</v>
      </c>
      <c r="F48" s="10" t="s">
        <v>138</v>
      </c>
      <c r="G48" s="5" t="s">
        <v>296</v>
      </c>
      <c r="H48" s="5" t="s">
        <v>245</v>
      </c>
      <c r="I48" s="5" t="s">
        <v>250</v>
      </c>
      <c r="J48" s="7" t="s">
        <v>107</v>
      </c>
      <c r="K48" s="7"/>
      <c r="L48" s="8"/>
      <c r="M48" s="7"/>
      <c r="N48" s="7"/>
      <c r="O48" s="8"/>
      <c r="P48" s="5" t="str">
        <f t="shared" si="1"/>
        <v>Pendiente</v>
      </c>
    </row>
    <row r="49" spans="1:16" ht="38.25">
      <c r="A49" s="6" t="s">
        <v>301</v>
      </c>
      <c r="B49" s="6" t="s">
        <v>52</v>
      </c>
      <c r="C49" s="6" t="s">
        <v>252</v>
      </c>
      <c r="D49" s="6" t="s">
        <v>302</v>
      </c>
      <c r="E49" s="11" t="s">
        <v>254</v>
      </c>
      <c r="F49" s="11" t="s">
        <v>103</v>
      </c>
      <c r="G49" s="6" t="s">
        <v>1174</v>
      </c>
      <c r="H49" s="6" t="s">
        <v>245</v>
      </c>
      <c r="I49" s="6" t="s">
        <v>255</v>
      </c>
      <c r="J49" s="7" t="s">
        <v>107</v>
      </c>
      <c r="K49" s="7"/>
      <c r="L49" s="8"/>
      <c r="M49" s="7"/>
      <c r="N49" s="7"/>
      <c r="O49" s="8"/>
      <c r="P49" s="6" t="str">
        <f t="shared" si="1"/>
        <v>Pendiente</v>
      </c>
    </row>
    <row r="50" spans="1:16" ht="25.5">
      <c r="A50" s="5" t="s">
        <v>303</v>
      </c>
      <c r="B50" s="5" t="s">
        <v>52</v>
      </c>
      <c r="C50" s="5" t="s">
        <v>257</v>
      </c>
      <c r="D50" s="5" t="s">
        <v>304</v>
      </c>
      <c r="E50" s="10" t="s">
        <v>137</v>
      </c>
      <c r="F50" s="10" t="s">
        <v>138</v>
      </c>
      <c r="G50" s="5" t="s">
        <v>301</v>
      </c>
      <c r="H50" s="5" t="s">
        <v>245</v>
      </c>
      <c r="I50" s="5" t="s">
        <v>259</v>
      </c>
      <c r="J50" s="7" t="s">
        <v>107</v>
      </c>
      <c r="K50" s="7"/>
      <c r="L50" s="8"/>
      <c r="M50" s="7"/>
      <c r="N50" s="7"/>
      <c r="O50" s="8"/>
      <c r="P50" s="5" t="str">
        <f t="shared" si="1"/>
        <v>Pendiente</v>
      </c>
    </row>
    <row r="51" spans="1:16" ht="38.25">
      <c r="A51" s="6" t="s">
        <v>305</v>
      </c>
      <c r="B51" s="6" t="s">
        <v>52</v>
      </c>
      <c r="C51" s="6" t="s">
        <v>261</v>
      </c>
      <c r="D51" s="6" t="s">
        <v>306</v>
      </c>
      <c r="E51" s="11" t="s">
        <v>137</v>
      </c>
      <c r="F51" s="11" t="s">
        <v>138</v>
      </c>
      <c r="G51" s="6" t="s">
        <v>303</v>
      </c>
      <c r="H51" s="6" t="s">
        <v>245</v>
      </c>
      <c r="I51" s="6" t="s">
        <v>264</v>
      </c>
      <c r="J51" s="7" t="s">
        <v>107</v>
      </c>
      <c r="K51" s="7"/>
      <c r="L51" s="8"/>
      <c r="M51" s="7"/>
      <c r="N51" s="7"/>
      <c r="O51" s="8"/>
      <c r="P51" s="6" t="str">
        <f t="shared" si="1"/>
        <v>Pendiente</v>
      </c>
    </row>
    <row r="52" spans="1:16" ht="25.5">
      <c r="A52" s="5" t="s">
        <v>307</v>
      </c>
      <c r="B52" s="5" t="s">
        <v>52</v>
      </c>
      <c r="C52" s="5" t="s">
        <v>266</v>
      </c>
      <c r="D52" s="5" t="s">
        <v>308</v>
      </c>
      <c r="E52" s="10" t="s">
        <v>137</v>
      </c>
      <c r="F52" s="10" t="s">
        <v>138</v>
      </c>
      <c r="G52" s="5" t="s">
        <v>309</v>
      </c>
      <c r="H52" s="5" t="s">
        <v>269</v>
      </c>
      <c r="I52" s="5" t="s">
        <v>270</v>
      </c>
      <c r="J52" s="7" t="s">
        <v>107</v>
      </c>
      <c r="K52" s="7"/>
      <c r="L52" s="8"/>
      <c r="M52" s="7"/>
      <c r="N52" s="7"/>
      <c r="O52" s="8"/>
      <c r="P52" s="5" t="str">
        <f t="shared" si="1"/>
        <v>Pendiente</v>
      </c>
    </row>
    <row r="53" spans="1:16" ht="38.25">
      <c r="A53" s="6" t="s">
        <v>310</v>
      </c>
      <c r="B53" s="6" t="s">
        <v>52</v>
      </c>
      <c r="C53" s="6" t="s">
        <v>272</v>
      </c>
      <c r="D53" s="6" t="s">
        <v>311</v>
      </c>
      <c r="E53" s="11" t="s">
        <v>137</v>
      </c>
      <c r="F53" s="11" t="s">
        <v>138</v>
      </c>
      <c r="G53" s="6" t="s">
        <v>1175</v>
      </c>
      <c r="H53" s="6" t="s">
        <v>274</v>
      </c>
      <c r="I53" s="6" t="s">
        <v>275</v>
      </c>
      <c r="J53" s="7" t="s">
        <v>107</v>
      </c>
      <c r="K53" s="7"/>
      <c r="L53" s="8"/>
      <c r="M53" s="7"/>
      <c r="N53" s="7"/>
      <c r="O53" s="8"/>
      <c r="P53" s="6" t="str">
        <f t="shared" si="1"/>
        <v>Pendiente</v>
      </c>
    </row>
    <row r="54" spans="1:16" ht="25.5">
      <c r="A54" s="5" t="s">
        <v>312</v>
      </c>
      <c r="B54" s="5" t="s">
        <v>52</v>
      </c>
      <c r="C54" s="5" t="s">
        <v>277</v>
      </c>
      <c r="D54" s="5" t="s">
        <v>278</v>
      </c>
      <c r="E54" s="10" t="s">
        <v>137</v>
      </c>
      <c r="F54" s="10" t="s">
        <v>138</v>
      </c>
      <c r="G54" s="5" t="s">
        <v>310</v>
      </c>
      <c r="H54" s="5" t="s">
        <v>274</v>
      </c>
      <c r="I54" s="5" t="s">
        <v>279</v>
      </c>
      <c r="J54" s="7" t="s">
        <v>107</v>
      </c>
      <c r="K54" s="7"/>
      <c r="L54" s="8"/>
      <c r="M54" s="7"/>
      <c r="N54" s="7"/>
      <c r="O54" s="8"/>
      <c r="P54" s="5" t="str">
        <f t="shared" si="1"/>
        <v>Pendiente</v>
      </c>
    </row>
    <row r="55" spans="1:16" ht="38.25">
      <c r="A55" s="6" t="s">
        <v>313</v>
      </c>
      <c r="B55" s="6" t="s">
        <v>56</v>
      </c>
      <c r="C55" s="6" t="s">
        <v>242</v>
      </c>
      <c r="D55" s="6" t="s">
        <v>314</v>
      </c>
      <c r="E55" s="11" t="s">
        <v>137</v>
      </c>
      <c r="F55" s="11" t="s">
        <v>138</v>
      </c>
      <c r="G55" s="6" t="s">
        <v>315</v>
      </c>
      <c r="H55" s="6" t="s">
        <v>245</v>
      </c>
      <c r="I55" s="6" t="s">
        <v>246</v>
      </c>
      <c r="J55" s="7" t="s">
        <v>107</v>
      </c>
      <c r="K55" s="7"/>
      <c r="L55" s="8"/>
      <c r="M55" s="7"/>
      <c r="N55" s="7"/>
      <c r="O55" s="8"/>
      <c r="P55" s="6" t="str">
        <f t="shared" si="1"/>
        <v>Pendiente</v>
      </c>
    </row>
    <row r="56" spans="1:16" ht="25.5">
      <c r="A56" s="5" t="s">
        <v>316</v>
      </c>
      <c r="B56" s="5" t="s">
        <v>56</v>
      </c>
      <c r="C56" s="5" t="s">
        <v>248</v>
      </c>
      <c r="D56" s="5" t="s">
        <v>317</v>
      </c>
      <c r="E56" s="10" t="s">
        <v>137</v>
      </c>
      <c r="F56" s="10" t="s">
        <v>138</v>
      </c>
      <c r="G56" s="5" t="s">
        <v>313</v>
      </c>
      <c r="H56" s="5" t="s">
        <v>245</v>
      </c>
      <c r="I56" s="5" t="s">
        <v>250</v>
      </c>
      <c r="J56" s="7" t="s">
        <v>107</v>
      </c>
      <c r="K56" s="7"/>
      <c r="L56" s="8"/>
      <c r="M56" s="7"/>
      <c r="N56" s="7"/>
      <c r="O56" s="8"/>
      <c r="P56" s="5" t="str">
        <f t="shared" si="1"/>
        <v>Pendiente</v>
      </c>
    </row>
    <row r="57" spans="1:16" ht="38.25">
      <c r="A57" s="6" t="s">
        <v>318</v>
      </c>
      <c r="B57" s="6" t="s">
        <v>56</v>
      </c>
      <c r="C57" s="6" t="s">
        <v>252</v>
      </c>
      <c r="D57" s="6" t="s">
        <v>319</v>
      </c>
      <c r="E57" s="11" t="s">
        <v>254</v>
      </c>
      <c r="F57" s="11" t="s">
        <v>103</v>
      </c>
      <c r="G57" s="6" t="s">
        <v>1176</v>
      </c>
      <c r="H57" s="6" t="s">
        <v>245</v>
      </c>
      <c r="I57" s="6" t="s">
        <v>255</v>
      </c>
      <c r="J57" s="7" t="s">
        <v>107</v>
      </c>
      <c r="K57" s="7"/>
      <c r="L57" s="8"/>
      <c r="M57" s="7"/>
      <c r="N57" s="7"/>
      <c r="O57" s="8"/>
      <c r="P57" s="6" t="str">
        <f t="shared" si="1"/>
        <v>Pendiente</v>
      </c>
    </row>
    <row r="58" spans="1:16" ht="25.5">
      <c r="A58" s="5" t="s">
        <v>320</v>
      </c>
      <c r="B58" s="5" t="s">
        <v>56</v>
      </c>
      <c r="C58" s="5" t="s">
        <v>257</v>
      </c>
      <c r="D58" s="5" t="s">
        <v>321</v>
      </c>
      <c r="E58" s="10" t="s">
        <v>137</v>
      </c>
      <c r="F58" s="10" t="s">
        <v>138</v>
      </c>
      <c r="G58" s="5" t="s">
        <v>318</v>
      </c>
      <c r="H58" s="5" t="s">
        <v>245</v>
      </c>
      <c r="I58" s="5" t="s">
        <v>259</v>
      </c>
      <c r="J58" s="7" t="s">
        <v>107</v>
      </c>
      <c r="K58" s="7"/>
      <c r="L58" s="8"/>
      <c r="M58" s="7"/>
      <c r="N58" s="7"/>
      <c r="O58" s="8"/>
      <c r="P58" s="5" t="str">
        <f t="shared" si="1"/>
        <v>Pendiente</v>
      </c>
    </row>
    <row r="59" spans="1:16" ht="38.25">
      <c r="A59" s="6" t="s">
        <v>322</v>
      </c>
      <c r="B59" s="6" t="s">
        <v>56</v>
      </c>
      <c r="C59" s="6" t="s">
        <v>261</v>
      </c>
      <c r="D59" s="6" t="s">
        <v>323</v>
      </c>
      <c r="E59" s="11" t="s">
        <v>137</v>
      </c>
      <c r="F59" s="11" t="s">
        <v>138</v>
      </c>
      <c r="G59" s="6" t="s">
        <v>320</v>
      </c>
      <c r="H59" s="6" t="s">
        <v>245</v>
      </c>
      <c r="I59" s="6" t="s">
        <v>264</v>
      </c>
      <c r="J59" s="7" t="s">
        <v>107</v>
      </c>
      <c r="K59" s="7"/>
      <c r="L59" s="8"/>
      <c r="M59" s="7"/>
      <c r="N59" s="7"/>
      <c r="O59" s="8"/>
      <c r="P59" s="6" t="str">
        <f t="shared" si="1"/>
        <v>Pendiente</v>
      </c>
    </row>
    <row r="60" spans="1:16" ht="25.5">
      <c r="A60" s="5" t="s">
        <v>324</v>
      </c>
      <c r="B60" s="5" t="s">
        <v>56</v>
      </c>
      <c r="C60" s="5" t="s">
        <v>266</v>
      </c>
      <c r="D60" s="5" t="s">
        <v>325</v>
      </c>
      <c r="E60" s="10" t="s">
        <v>137</v>
      </c>
      <c r="F60" s="10" t="s">
        <v>138</v>
      </c>
      <c r="G60" s="5" t="s">
        <v>326</v>
      </c>
      <c r="H60" s="5" t="s">
        <v>269</v>
      </c>
      <c r="I60" s="5" t="s">
        <v>270</v>
      </c>
      <c r="J60" s="7" t="s">
        <v>107</v>
      </c>
      <c r="K60" s="7"/>
      <c r="L60" s="8"/>
      <c r="M60" s="7"/>
      <c r="N60" s="7"/>
      <c r="O60" s="8"/>
      <c r="P60" s="5" t="str">
        <f t="shared" si="1"/>
        <v>Pendiente</v>
      </c>
    </row>
    <row r="61" spans="1:16" ht="38.25">
      <c r="A61" s="6" t="s">
        <v>327</v>
      </c>
      <c r="B61" s="6" t="s">
        <v>56</v>
      </c>
      <c r="C61" s="6" t="s">
        <v>272</v>
      </c>
      <c r="D61" s="6" t="s">
        <v>328</v>
      </c>
      <c r="E61" s="11" t="s">
        <v>137</v>
      </c>
      <c r="F61" s="11" t="s">
        <v>138</v>
      </c>
      <c r="G61" s="6" t="s">
        <v>1177</v>
      </c>
      <c r="H61" s="6" t="s">
        <v>274</v>
      </c>
      <c r="I61" s="6" t="s">
        <v>275</v>
      </c>
      <c r="J61" s="7" t="s">
        <v>107</v>
      </c>
      <c r="K61" s="7"/>
      <c r="L61" s="8"/>
      <c r="M61" s="7"/>
      <c r="N61" s="7"/>
      <c r="O61" s="8"/>
      <c r="P61" s="6" t="str">
        <f t="shared" si="1"/>
        <v>Pendiente</v>
      </c>
    </row>
    <row r="62" spans="1:16" ht="25.5">
      <c r="A62" s="5" t="s">
        <v>329</v>
      </c>
      <c r="B62" s="5" t="s">
        <v>56</v>
      </c>
      <c r="C62" s="5" t="s">
        <v>277</v>
      </c>
      <c r="D62" s="5" t="s">
        <v>278</v>
      </c>
      <c r="E62" s="10" t="s">
        <v>137</v>
      </c>
      <c r="F62" s="10" t="s">
        <v>138</v>
      </c>
      <c r="G62" s="5" t="s">
        <v>327</v>
      </c>
      <c r="H62" s="5" t="s">
        <v>274</v>
      </c>
      <c r="I62" s="5" t="s">
        <v>279</v>
      </c>
      <c r="J62" s="7" t="s">
        <v>107</v>
      </c>
      <c r="K62" s="7"/>
      <c r="L62" s="8"/>
      <c r="M62" s="7"/>
      <c r="N62" s="7"/>
      <c r="O62" s="8"/>
      <c r="P62" s="5" t="str">
        <f t="shared" si="1"/>
        <v>Pendiente</v>
      </c>
    </row>
    <row r="63" spans="1:16" ht="25.5">
      <c r="A63" s="6" t="s">
        <v>330</v>
      </c>
      <c r="B63" s="6" t="s">
        <v>60</v>
      </c>
      <c r="C63" s="6" t="s">
        <v>242</v>
      </c>
      <c r="D63" s="6" t="s">
        <v>331</v>
      </c>
      <c r="E63" s="11" t="s">
        <v>137</v>
      </c>
      <c r="F63" s="11" t="s">
        <v>138</v>
      </c>
      <c r="G63" s="6" t="s">
        <v>332</v>
      </c>
      <c r="H63" s="6" t="s">
        <v>245</v>
      </c>
      <c r="I63" s="6" t="s">
        <v>246</v>
      </c>
      <c r="J63" s="7" t="s">
        <v>107</v>
      </c>
      <c r="K63" s="7"/>
      <c r="L63" s="8"/>
      <c r="M63" s="7"/>
      <c r="N63" s="7"/>
      <c r="O63" s="8"/>
      <c r="P63" s="6" t="str">
        <f t="shared" si="1"/>
        <v>Pendiente</v>
      </c>
    </row>
    <row r="64" spans="1:16" ht="25.5">
      <c r="A64" s="5" t="s">
        <v>333</v>
      </c>
      <c r="B64" s="5" t="s">
        <v>60</v>
      </c>
      <c r="C64" s="5" t="s">
        <v>248</v>
      </c>
      <c r="D64" s="5" t="s">
        <v>334</v>
      </c>
      <c r="E64" s="10" t="s">
        <v>137</v>
      </c>
      <c r="F64" s="10" t="s">
        <v>138</v>
      </c>
      <c r="G64" s="5" t="s">
        <v>330</v>
      </c>
      <c r="H64" s="5" t="s">
        <v>245</v>
      </c>
      <c r="I64" s="5" t="s">
        <v>250</v>
      </c>
      <c r="J64" s="7" t="s">
        <v>107</v>
      </c>
      <c r="K64" s="7"/>
      <c r="L64" s="8"/>
      <c r="M64" s="7"/>
      <c r="N64" s="7"/>
      <c r="O64" s="8"/>
      <c r="P64" s="5" t="str">
        <f t="shared" si="1"/>
        <v>Pendiente</v>
      </c>
    </row>
    <row r="65" spans="1:16" ht="38.25">
      <c r="A65" s="6" t="s">
        <v>335</v>
      </c>
      <c r="B65" s="6" t="s">
        <v>60</v>
      </c>
      <c r="C65" s="6" t="s">
        <v>252</v>
      </c>
      <c r="D65" s="6" t="s">
        <v>336</v>
      </c>
      <c r="E65" s="11" t="s">
        <v>254</v>
      </c>
      <c r="F65" s="11" t="s">
        <v>103</v>
      </c>
      <c r="G65" s="6" t="s">
        <v>1178</v>
      </c>
      <c r="H65" s="6" t="s">
        <v>245</v>
      </c>
      <c r="I65" s="6" t="s">
        <v>255</v>
      </c>
      <c r="J65" s="7" t="s">
        <v>107</v>
      </c>
      <c r="K65" s="7"/>
      <c r="L65" s="8"/>
      <c r="M65" s="7"/>
      <c r="N65" s="7"/>
      <c r="O65" s="8"/>
      <c r="P65" s="6" t="str">
        <f t="shared" si="1"/>
        <v>Pendiente</v>
      </c>
    </row>
    <row r="66" spans="1:16" ht="25.5">
      <c r="A66" s="5" t="s">
        <v>337</v>
      </c>
      <c r="B66" s="5" t="s">
        <v>60</v>
      </c>
      <c r="C66" s="5" t="s">
        <v>257</v>
      </c>
      <c r="D66" s="5" t="s">
        <v>338</v>
      </c>
      <c r="E66" s="10" t="s">
        <v>137</v>
      </c>
      <c r="F66" s="10" t="s">
        <v>138</v>
      </c>
      <c r="G66" s="5" t="s">
        <v>335</v>
      </c>
      <c r="H66" s="5" t="s">
        <v>245</v>
      </c>
      <c r="I66" s="5" t="s">
        <v>259</v>
      </c>
      <c r="J66" s="7" t="s">
        <v>107</v>
      </c>
      <c r="K66" s="7"/>
      <c r="L66" s="8"/>
      <c r="M66" s="7"/>
      <c r="N66" s="7"/>
      <c r="O66" s="8"/>
      <c r="P66" s="5" t="str">
        <f t="shared" si="1"/>
        <v>Pendiente</v>
      </c>
    </row>
    <row r="67" spans="1:16" ht="51">
      <c r="A67" s="6" t="s">
        <v>339</v>
      </c>
      <c r="B67" s="6" t="s">
        <v>60</v>
      </c>
      <c r="C67" s="6" t="s">
        <v>261</v>
      </c>
      <c r="D67" s="6" t="s">
        <v>340</v>
      </c>
      <c r="E67" s="11" t="s">
        <v>137</v>
      </c>
      <c r="F67" s="11" t="s">
        <v>138</v>
      </c>
      <c r="G67" s="6" t="s">
        <v>337</v>
      </c>
      <c r="H67" s="6" t="s">
        <v>245</v>
      </c>
      <c r="I67" s="6" t="s">
        <v>264</v>
      </c>
      <c r="J67" s="7" t="s">
        <v>107</v>
      </c>
      <c r="K67" s="7"/>
      <c r="L67" s="8"/>
      <c r="M67" s="7"/>
      <c r="N67" s="7"/>
      <c r="O67" s="8"/>
      <c r="P67" s="6" t="str">
        <f t="shared" si="1"/>
        <v>Pendiente</v>
      </c>
    </row>
    <row r="68" spans="1:16" ht="25.5">
      <c r="A68" s="5" t="s">
        <v>341</v>
      </c>
      <c r="B68" s="5" t="s">
        <v>60</v>
      </c>
      <c r="C68" s="5" t="s">
        <v>266</v>
      </c>
      <c r="D68" s="5" t="s">
        <v>342</v>
      </c>
      <c r="E68" s="10" t="s">
        <v>137</v>
      </c>
      <c r="F68" s="10" t="s">
        <v>138</v>
      </c>
      <c r="G68" s="5" t="s">
        <v>343</v>
      </c>
      <c r="H68" s="5" t="s">
        <v>269</v>
      </c>
      <c r="I68" s="5" t="s">
        <v>270</v>
      </c>
      <c r="J68" s="7" t="s">
        <v>107</v>
      </c>
      <c r="K68" s="7"/>
      <c r="L68" s="8"/>
      <c r="M68" s="7"/>
      <c r="N68" s="7"/>
      <c r="O68" s="8"/>
      <c r="P68" s="5" t="str">
        <f t="shared" si="1"/>
        <v>Pendiente</v>
      </c>
    </row>
    <row r="69" spans="1:16" ht="38.25">
      <c r="A69" s="6" t="s">
        <v>344</v>
      </c>
      <c r="B69" s="6" t="s">
        <v>60</v>
      </c>
      <c r="C69" s="6" t="s">
        <v>272</v>
      </c>
      <c r="D69" s="6" t="s">
        <v>345</v>
      </c>
      <c r="E69" s="11" t="s">
        <v>137</v>
      </c>
      <c r="F69" s="11" t="s">
        <v>138</v>
      </c>
      <c r="G69" s="6" t="s">
        <v>1179</v>
      </c>
      <c r="H69" s="6" t="s">
        <v>274</v>
      </c>
      <c r="I69" s="6" t="s">
        <v>275</v>
      </c>
      <c r="J69" s="7" t="s">
        <v>107</v>
      </c>
      <c r="K69" s="7"/>
      <c r="L69" s="8"/>
      <c r="M69" s="7"/>
      <c r="N69" s="7"/>
      <c r="O69" s="8"/>
      <c r="P69" s="6" t="str">
        <f t="shared" si="1"/>
        <v>Pendiente</v>
      </c>
    </row>
    <row r="70" spans="1:16" ht="25.5">
      <c r="A70" s="5" t="s">
        <v>346</v>
      </c>
      <c r="B70" s="5" t="s">
        <v>60</v>
      </c>
      <c r="C70" s="5" t="s">
        <v>277</v>
      </c>
      <c r="D70" s="5" t="s">
        <v>278</v>
      </c>
      <c r="E70" s="10" t="s">
        <v>137</v>
      </c>
      <c r="F70" s="10" t="s">
        <v>138</v>
      </c>
      <c r="G70" s="5" t="s">
        <v>344</v>
      </c>
      <c r="H70" s="5" t="s">
        <v>274</v>
      </c>
      <c r="I70" s="5" t="s">
        <v>279</v>
      </c>
      <c r="J70" s="7" t="s">
        <v>107</v>
      </c>
      <c r="K70" s="7"/>
      <c r="L70" s="8"/>
      <c r="M70" s="7"/>
      <c r="N70" s="7"/>
      <c r="O70" s="8"/>
      <c r="P70" s="5" t="str">
        <f t="shared" ref="P70:P101" si="2">IF(J70="Cerrado",IF(AND(K70&lt;&gt;"",M70&lt;&gt;"",N70&lt;&gt;"",ISNUMBER(O70)),"Cierre documentado","Falta evidencia o aceptación"),"Pendiente")</f>
        <v>Pendiente</v>
      </c>
    </row>
    <row r="71" spans="1:16" ht="25.5">
      <c r="A71" s="6" t="s">
        <v>347</v>
      </c>
      <c r="B71" s="6" t="s">
        <v>62</v>
      </c>
      <c r="C71" s="6" t="s">
        <v>242</v>
      </c>
      <c r="D71" s="6" t="s">
        <v>348</v>
      </c>
      <c r="E71" s="11" t="s">
        <v>137</v>
      </c>
      <c r="F71" s="11" t="s">
        <v>138</v>
      </c>
      <c r="G71" s="6" t="s">
        <v>349</v>
      </c>
      <c r="H71" s="6" t="s">
        <v>245</v>
      </c>
      <c r="I71" s="6" t="s">
        <v>246</v>
      </c>
      <c r="J71" s="7" t="s">
        <v>107</v>
      </c>
      <c r="K71" s="7"/>
      <c r="L71" s="8"/>
      <c r="M71" s="7"/>
      <c r="N71" s="7"/>
      <c r="O71" s="8"/>
      <c r="P71" s="6" t="str">
        <f t="shared" si="2"/>
        <v>Pendiente</v>
      </c>
    </row>
    <row r="72" spans="1:16" ht="25.5">
      <c r="A72" s="5" t="s">
        <v>350</v>
      </c>
      <c r="B72" s="5" t="s">
        <v>62</v>
      </c>
      <c r="C72" s="5" t="s">
        <v>248</v>
      </c>
      <c r="D72" s="5" t="s">
        <v>351</v>
      </c>
      <c r="E72" s="10" t="s">
        <v>137</v>
      </c>
      <c r="F72" s="10" t="s">
        <v>138</v>
      </c>
      <c r="G72" s="5" t="s">
        <v>347</v>
      </c>
      <c r="H72" s="5" t="s">
        <v>245</v>
      </c>
      <c r="I72" s="5" t="s">
        <v>250</v>
      </c>
      <c r="J72" s="7" t="s">
        <v>107</v>
      </c>
      <c r="K72" s="7"/>
      <c r="L72" s="8"/>
      <c r="M72" s="7"/>
      <c r="N72" s="7"/>
      <c r="O72" s="8"/>
      <c r="P72" s="5" t="str">
        <f t="shared" si="2"/>
        <v>Pendiente</v>
      </c>
    </row>
    <row r="73" spans="1:16" ht="38.25">
      <c r="A73" s="6" t="s">
        <v>352</v>
      </c>
      <c r="B73" s="6" t="s">
        <v>62</v>
      </c>
      <c r="C73" s="6" t="s">
        <v>252</v>
      </c>
      <c r="D73" s="6" t="s">
        <v>353</v>
      </c>
      <c r="E73" s="11" t="s">
        <v>254</v>
      </c>
      <c r="F73" s="11" t="s">
        <v>103</v>
      </c>
      <c r="G73" s="6" t="s">
        <v>1180</v>
      </c>
      <c r="H73" s="6" t="s">
        <v>245</v>
      </c>
      <c r="I73" s="6" t="s">
        <v>255</v>
      </c>
      <c r="J73" s="7" t="s">
        <v>107</v>
      </c>
      <c r="K73" s="7"/>
      <c r="L73" s="8"/>
      <c r="M73" s="7"/>
      <c r="N73" s="7"/>
      <c r="O73" s="8"/>
      <c r="P73" s="6" t="str">
        <f t="shared" si="2"/>
        <v>Pendiente</v>
      </c>
    </row>
    <row r="74" spans="1:16" ht="25.5">
      <c r="A74" s="5" t="s">
        <v>354</v>
      </c>
      <c r="B74" s="5" t="s">
        <v>62</v>
      </c>
      <c r="C74" s="5" t="s">
        <v>257</v>
      </c>
      <c r="D74" s="5" t="s">
        <v>355</v>
      </c>
      <c r="E74" s="10" t="s">
        <v>137</v>
      </c>
      <c r="F74" s="10" t="s">
        <v>138</v>
      </c>
      <c r="G74" s="5" t="s">
        <v>352</v>
      </c>
      <c r="H74" s="5" t="s">
        <v>245</v>
      </c>
      <c r="I74" s="5" t="s">
        <v>259</v>
      </c>
      <c r="J74" s="7" t="s">
        <v>107</v>
      </c>
      <c r="K74" s="7"/>
      <c r="L74" s="8"/>
      <c r="M74" s="7"/>
      <c r="N74" s="7"/>
      <c r="O74" s="8"/>
      <c r="P74" s="5" t="str">
        <f t="shared" si="2"/>
        <v>Pendiente</v>
      </c>
    </row>
    <row r="75" spans="1:16" ht="38.25">
      <c r="A75" s="6" t="s">
        <v>356</v>
      </c>
      <c r="B75" s="6" t="s">
        <v>62</v>
      </c>
      <c r="C75" s="6" t="s">
        <v>261</v>
      </c>
      <c r="D75" s="6" t="s">
        <v>357</v>
      </c>
      <c r="E75" s="11" t="s">
        <v>137</v>
      </c>
      <c r="F75" s="11" t="s">
        <v>138</v>
      </c>
      <c r="G75" s="6" t="s">
        <v>354</v>
      </c>
      <c r="H75" s="6" t="s">
        <v>245</v>
      </c>
      <c r="I75" s="6" t="s">
        <v>264</v>
      </c>
      <c r="J75" s="7" t="s">
        <v>107</v>
      </c>
      <c r="K75" s="7"/>
      <c r="L75" s="8"/>
      <c r="M75" s="7"/>
      <c r="N75" s="7"/>
      <c r="O75" s="8"/>
      <c r="P75" s="6" t="str">
        <f t="shared" si="2"/>
        <v>Pendiente</v>
      </c>
    </row>
    <row r="76" spans="1:16" ht="25.5">
      <c r="A76" s="5" t="s">
        <v>358</v>
      </c>
      <c r="B76" s="5" t="s">
        <v>62</v>
      </c>
      <c r="C76" s="5" t="s">
        <v>266</v>
      </c>
      <c r="D76" s="5" t="s">
        <v>359</v>
      </c>
      <c r="E76" s="10" t="s">
        <v>137</v>
      </c>
      <c r="F76" s="10" t="s">
        <v>138</v>
      </c>
      <c r="G76" s="5" t="s">
        <v>360</v>
      </c>
      <c r="H76" s="5" t="s">
        <v>269</v>
      </c>
      <c r="I76" s="5" t="s">
        <v>270</v>
      </c>
      <c r="J76" s="7" t="s">
        <v>107</v>
      </c>
      <c r="K76" s="7"/>
      <c r="L76" s="8"/>
      <c r="M76" s="7"/>
      <c r="N76" s="7"/>
      <c r="O76" s="8"/>
      <c r="P76" s="5" t="str">
        <f t="shared" si="2"/>
        <v>Pendiente</v>
      </c>
    </row>
    <row r="77" spans="1:16" ht="38.25">
      <c r="A77" s="6" t="s">
        <v>361</v>
      </c>
      <c r="B77" s="6" t="s">
        <v>62</v>
      </c>
      <c r="C77" s="6" t="s">
        <v>272</v>
      </c>
      <c r="D77" s="6" t="s">
        <v>362</v>
      </c>
      <c r="E77" s="11" t="s">
        <v>137</v>
      </c>
      <c r="F77" s="11" t="s">
        <v>138</v>
      </c>
      <c r="G77" s="6" t="s">
        <v>1181</v>
      </c>
      <c r="H77" s="6" t="s">
        <v>274</v>
      </c>
      <c r="I77" s="6" t="s">
        <v>275</v>
      </c>
      <c r="J77" s="7" t="s">
        <v>107</v>
      </c>
      <c r="K77" s="7"/>
      <c r="L77" s="8"/>
      <c r="M77" s="7"/>
      <c r="N77" s="7"/>
      <c r="O77" s="8"/>
      <c r="P77" s="6" t="str">
        <f t="shared" si="2"/>
        <v>Pendiente</v>
      </c>
    </row>
    <row r="78" spans="1:16" ht="25.5">
      <c r="A78" s="5" t="s">
        <v>363</v>
      </c>
      <c r="B78" s="5" t="s">
        <v>62</v>
      </c>
      <c r="C78" s="5" t="s">
        <v>277</v>
      </c>
      <c r="D78" s="5" t="s">
        <v>278</v>
      </c>
      <c r="E78" s="10" t="s">
        <v>137</v>
      </c>
      <c r="F78" s="10" t="s">
        <v>138</v>
      </c>
      <c r="G78" s="5" t="s">
        <v>361</v>
      </c>
      <c r="H78" s="5" t="s">
        <v>274</v>
      </c>
      <c r="I78" s="5" t="s">
        <v>279</v>
      </c>
      <c r="J78" s="7" t="s">
        <v>107</v>
      </c>
      <c r="K78" s="7"/>
      <c r="L78" s="8"/>
      <c r="M78" s="7"/>
      <c r="N78" s="7"/>
      <c r="O78" s="8"/>
      <c r="P78" s="5" t="str">
        <f t="shared" si="2"/>
        <v>Pendiente</v>
      </c>
    </row>
    <row r="79" spans="1:16" ht="25.5">
      <c r="A79" s="6" t="s">
        <v>364</v>
      </c>
      <c r="B79" s="6" t="s">
        <v>66</v>
      </c>
      <c r="C79" s="6" t="s">
        <v>242</v>
      </c>
      <c r="D79" s="6" t="s">
        <v>365</v>
      </c>
      <c r="E79" s="11" t="s">
        <v>137</v>
      </c>
      <c r="F79" s="11" t="s">
        <v>138</v>
      </c>
      <c r="G79" s="6" t="s">
        <v>366</v>
      </c>
      <c r="H79" s="6" t="s">
        <v>245</v>
      </c>
      <c r="I79" s="6" t="s">
        <v>246</v>
      </c>
      <c r="J79" s="7" t="s">
        <v>107</v>
      </c>
      <c r="K79" s="7"/>
      <c r="L79" s="8"/>
      <c r="M79" s="7"/>
      <c r="N79" s="7"/>
      <c r="O79" s="8"/>
      <c r="P79" s="6" t="str">
        <f t="shared" si="2"/>
        <v>Pendiente</v>
      </c>
    </row>
    <row r="80" spans="1:16" ht="25.5">
      <c r="A80" s="5" t="s">
        <v>367</v>
      </c>
      <c r="B80" s="5" t="s">
        <v>66</v>
      </c>
      <c r="C80" s="5" t="s">
        <v>248</v>
      </c>
      <c r="D80" s="5" t="s">
        <v>368</v>
      </c>
      <c r="E80" s="10" t="s">
        <v>137</v>
      </c>
      <c r="F80" s="10" t="s">
        <v>138</v>
      </c>
      <c r="G80" s="5" t="s">
        <v>364</v>
      </c>
      <c r="H80" s="5" t="s">
        <v>245</v>
      </c>
      <c r="I80" s="5" t="s">
        <v>250</v>
      </c>
      <c r="J80" s="7" t="s">
        <v>107</v>
      </c>
      <c r="K80" s="7"/>
      <c r="L80" s="8"/>
      <c r="M80" s="7"/>
      <c r="N80" s="7"/>
      <c r="O80" s="8"/>
      <c r="P80" s="5" t="str">
        <f t="shared" si="2"/>
        <v>Pendiente</v>
      </c>
    </row>
    <row r="81" spans="1:16" ht="38.25">
      <c r="A81" s="6" t="s">
        <v>369</v>
      </c>
      <c r="B81" s="6" t="s">
        <v>66</v>
      </c>
      <c r="C81" s="6" t="s">
        <v>252</v>
      </c>
      <c r="D81" s="6" t="s">
        <v>370</v>
      </c>
      <c r="E81" s="11" t="s">
        <v>254</v>
      </c>
      <c r="F81" s="11" t="s">
        <v>103</v>
      </c>
      <c r="G81" s="6" t="s">
        <v>1182</v>
      </c>
      <c r="H81" s="6" t="s">
        <v>245</v>
      </c>
      <c r="I81" s="6" t="s">
        <v>255</v>
      </c>
      <c r="J81" s="7" t="s">
        <v>107</v>
      </c>
      <c r="K81" s="7"/>
      <c r="L81" s="8"/>
      <c r="M81" s="7"/>
      <c r="N81" s="7"/>
      <c r="O81" s="8"/>
      <c r="P81" s="6" t="str">
        <f t="shared" si="2"/>
        <v>Pendiente</v>
      </c>
    </row>
    <row r="82" spans="1:16" ht="25.5">
      <c r="A82" s="5" t="s">
        <v>371</v>
      </c>
      <c r="B82" s="5" t="s">
        <v>66</v>
      </c>
      <c r="C82" s="5" t="s">
        <v>257</v>
      </c>
      <c r="D82" s="5" t="s">
        <v>372</v>
      </c>
      <c r="E82" s="10" t="s">
        <v>137</v>
      </c>
      <c r="F82" s="10" t="s">
        <v>138</v>
      </c>
      <c r="G82" s="5" t="s">
        <v>369</v>
      </c>
      <c r="H82" s="5" t="s">
        <v>245</v>
      </c>
      <c r="I82" s="5" t="s">
        <v>259</v>
      </c>
      <c r="J82" s="7" t="s">
        <v>107</v>
      </c>
      <c r="K82" s="7"/>
      <c r="L82" s="8"/>
      <c r="M82" s="7"/>
      <c r="N82" s="7"/>
      <c r="O82" s="8"/>
      <c r="P82" s="5" t="str">
        <f t="shared" si="2"/>
        <v>Pendiente</v>
      </c>
    </row>
    <row r="83" spans="1:16" ht="38.25">
      <c r="A83" s="6" t="s">
        <v>373</v>
      </c>
      <c r="B83" s="6" t="s">
        <v>66</v>
      </c>
      <c r="C83" s="6" t="s">
        <v>261</v>
      </c>
      <c r="D83" s="6" t="s">
        <v>374</v>
      </c>
      <c r="E83" s="11" t="s">
        <v>137</v>
      </c>
      <c r="F83" s="11" t="s">
        <v>138</v>
      </c>
      <c r="G83" s="6" t="s">
        <v>371</v>
      </c>
      <c r="H83" s="6" t="s">
        <v>245</v>
      </c>
      <c r="I83" s="6" t="s">
        <v>264</v>
      </c>
      <c r="J83" s="7" t="s">
        <v>107</v>
      </c>
      <c r="K83" s="7"/>
      <c r="L83" s="8"/>
      <c r="M83" s="7"/>
      <c r="N83" s="7"/>
      <c r="O83" s="8"/>
      <c r="P83" s="6" t="str">
        <f t="shared" si="2"/>
        <v>Pendiente</v>
      </c>
    </row>
    <row r="84" spans="1:16" ht="25.5">
      <c r="A84" s="5" t="s">
        <v>375</v>
      </c>
      <c r="B84" s="5" t="s">
        <v>66</v>
      </c>
      <c r="C84" s="5" t="s">
        <v>266</v>
      </c>
      <c r="D84" s="5" t="s">
        <v>376</v>
      </c>
      <c r="E84" s="10" t="s">
        <v>137</v>
      </c>
      <c r="F84" s="10" t="s">
        <v>138</v>
      </c>
      <c r="G84" s="5" t="s">
        <v>377</v>
      </c>
      <c r="H84" s="5" t="s">
        <v>269</v>
      </c>
      <c r="I84" s="5" t="s">
        <v>270</v>
      </c>
      <c r="J84" s="7" t="s">
        <v>107</v>
      </c>
      <c r="K84" s="7"/>
      <c r="L84" s="8"/>
      <c r="M84" s="7"/>
      <c r="N84" s="7"/>
      <c r="O84" s="8"/>
      <c r="P84" s="5" t="str">
        <f t="shared" si="2"/>
        <v>Pendiente</v>
      </c>
    </row>
    <row r="85" spans="1:16" ht="38.25">
      <c r="A85" s="6" t="s">
        <v>378</v>
      </c>
      <c r="B85" s="6" t="s">
        <v>66</v>
      </c>
      <c r="C85" s="6" t="s">
        <v>272</v>
      </c>
      <c r="D85" s="6" t="s">
        <v>379</v>
      </c>
      <c r="E85" s="11" t="s">
        <v>137</v>
      </c>
      <c r="F85" s="11" t="s">
        <v>138</v>
      </c>
      <c r="G85" s="6" t="s">
        <v>1183</v>
      </c>
      <c r="H85" s="6" t="s">
        <v>274</v>
      </c>
      <c r="I85" s="6" t="s">
        <v>275</v>
      </c>
      <c r="J85" s="7" t="s">
        <v>107</v>
      </c>
      <c r="K85" s="7"/>
      <c r="L85" s="8"/>
      <c r="M85" s="7"/>
      <c r="N85" s="7"/>
      <c r="O85" s="8"/>
      <c r="P85" s="6" t="str">
        <f t="shared" si="2"/>
        <v>Pendiente</v>
      </c>
    </row>
    <row r="86" spans="1:16" ht="25.5">
      <c r="A86" s="5" t="s">
        <v>380</v>
      </c>
      <c r="B86" s="5" t="s">
        <v>66</v>
      </c>
      <c r="C86" s="5" t="s">
        <v>277</v>
      </c>
      <c r="D86" s="5" t="s">
        <v>278</v>
      </c>
      <c r="E86" s="10" t="s">
        <v>137</v>
      </c>
      <c r="F86" s="10" t="s">
        <v>138</v>
      </c>
      <c r="G86" s="5" t="s">
        <v>378</v>
      </c>
      <c r="H86" s="5" t="s">
        <v>274</v>
      </c>
      <c r="I86" s="5" t="s">
        <v>279</v>
      </c>
      <c r="J86" s="7" t="s">
        <v>107</v>
      </c>
      <c r="K86" s="7"/>
      <c r="L86" s="8"/>
      <c r="M86" s="7"/>
      <c r="N86" s="7"/>
      <c r="O86" s="8"/>
      <c r="P86" s="5" t="str">
        <f t="shared" si="2"/>
        <v>Pendiente</v>
      </c>
    </row>
    <row r="87" spans="1:16" ht="38.25">
      <c r="A87" s="6" t="s">
        <v>381</v>
      </c>
      <c r="B87" s="6" t="s">
        <v>70</v>
      </c>
      <c r="C87" s="6" t="s">
        <v>242</v>
      </c>
      <c r="D87" s="6" t="s">
        <v>382</v>
      </c>
      <c r="E87" s="11" t="s">
        <v>137</v>
      </c>
      <c r="F87" s="11" t="s">
        <v>138</v>
      </c>
      <c r="G87" s="6" t="s">
        <v>383</v>
      </c>
      <c r="H87" s="6" t="s">
        <v>245</v>
      </c>
      <c r="I87" s="6" t="s">
        <v>246</v>
      </c>
      <c r="J87" s="7" t="s">
        <v>107</v>
      </c>
      <c r="K87" s="7"/>
      <c r="L87" s="8"/>
      <c r="M87" s="7"/>
      <c r="N87" s="7"/>
      <c r="O87" s="8"/>
      <c r="P87" s="6" t="str">
        <f t="shared" si="2"/>
        <v>Pendiente</v>
      </c>
    </row>
    <row r="88" spans="1:16" ht="25.5">
      <c r="A88" s="5" t="s">
        <v>384</v>
      </c>
      <c r="B88" s="5" t="s">
        <v>70</v>
      </c>
      <c r="C88" s="5" t="s">
        <v>248</v>
      </c>
      <c r="D88" s="5" t="s">
        <v>385</v>
      </c>
      <c r="E88" s="10" t="s">
        <v>137</v>
      </c>
      <c r="F88" s="10" t="s">
        <v>138</v>
      </c>
      <c r="G88" s="5" t="s">
        <v>381</v>
      </c>
      <c r="H88" s="5" t="s">
        <v>245</v>
      </c>
      <c r="I88" s="5" t="s">
        <v>250</v>
      </c>
      <c r="J88" s="7" t="s">
        <v>107</v>
      </c>
      <c r="K88" s="7"/>
      <c r="L88" s="8"/>
      <c r="M88" s="7"/>
      <c r="N88" s="7"/>
      <c r="O88" s="8"/>
      <c r="P88" s="5" t="str">
        <f t="shared" si="2"/>
        <v>Pendiente</v>
      </c>
    </row>
    <row r="89" spans="1:16" ht="38.25">
      <c r="A89" s="6" t="s">
        <v>386</v>
      </c>
      <c r="B89" s="6" t="s">
        <v>70</v>
      </c>
      <c r="C89" s="6" t="s">
        <v>252</v>
      </c>
      <c r="D89" s="6" t="s">
        <v>387</v>
      </c>
      <c r="E89" s="11" t="s">
        <v>254</v>
      </c>
      <c r="F89" s="11" t="s">
        <v>103</v>
      </c>
      <c r="G89" s="6" t="s">
        <v>1184</v>
      </c>
      <c r="H89" s="6" t="s">
        <v>245</v>
      </c>
      <c r="I89" s="6" t="s">
        <v>255</v>
      </c>
      <c r="J89" s="7" t="s">
        <v>107</v>
      </c>
      <c r="K89" s="7"/>
      <c r="L89" s="8"/>
      <c r="M89" s="7"/>
      <c r="N89" s="7"/>
      <c r="O89" s="8"/>
      <c r="P89" s="6" t="str">
        <f t="shared" si="2"/>
        <v>Pendiente</v>
      </c>
    </row>
    <row r="90" spans="1:16" ht="25.5">
      <c r="A90" s="5" t="s">
        <v>388</v>
      </c>
      <c r="B90" s="5" t="s">
        <v>70</v>
      </c>
      <c r="C90" s="5" t="s">
        <v>257</v>
      </c>
      <c r="D90" s="5" t="s">
        <v>389</v>
      </c>
      <c r="E90" s="10" t="s">
        <v>137</v>
      </c>
      <c r="F90" s="10" t="s">
        <v>138</v>
      </c>
      <c r="G90" s="5" t="s">
        <v>386</v>
      </c>
      <c r="H90" s="5" t="s">
        <v>245</v>
      </c>
      <c r="I90" s="5" t="s">
        <v>259</v>
      </c>
      <c r="J90" s="7" t="s">
        <v>107</v>
      </c>
      <c r="K90" s="7"/>
      <c r="L90" s="8"/>
      <c r="M90" s="7"/>
      <c r="N90" s="7"/>
      <c r="O90" s="8"/>
      <c r="P90" s="5" t="str">
        <f t="shared" si="2"/>
        <v>Pendiente</v>
      </c>
    </row>
    <row r="91" spans="1:16" ht="38.25">
      <c r="A91" s="6" t="s">
        <v>390</v>
      </c>
      <c r="B91" s="6" t="s">
        <v>70</v>
      </c>
      <c r="C91" s="6" t="s">
        <v>261</v>
      </c>
      <c r="D91" s="6" t="s">
        <v>391</v>
      </c>
      <c r="E91" s="11" t="s">
        <v>137</v>
      </c>
      <c r="F91" s="11" t="s">
        <v>138</v>
      </c>
      <c r="G91" s="6" t="s">
        <v>388</v>
      </c>
      <c r="H91" s="6" t="s">
        <v>245</v>
      </c>
      <c r="I91" s="6" t="s">
        <v>264</v>
      </c>
      <c r="J91" s="7" t="s">
        <v>107</v>
      </c>
      <c r="K91" s="7"/>
      <c r="L91" s="8"/>
      <c r="M91" s="7"/>
      <c r="N91" s="7"/>
      <c r="O91" s="8"/>
      <c r="P91" s="6" t="str">
        <f t="shared" si="2"/>
        <v>Pendiente</v>
      </c>
    </row>
    <row r="92" spans="1:16" ht="25.5">
      <c r="A92" s="5" t="s">
        <v>392</v>
      </c>
      <c r="B92" s="5" t="s">
        <v>70</v>
      </c>
      <c r="C92" s="5" t="s">
        <v>266</v>
      </c>
      <c r="D92" s="5" t="s">
        <v>393</v>
      </c>
      <c r="E92" s="10" t="s">
        <v>137</v>
      </c>
      <c r="F92" s="10" t="s">
        <v>138</v>
      </c>
      <c r="G92" s="5" t="s">
        <v>394</v>
      </c>
      <c r="H92" s="5" t="s">
        <v>269</v>
      </c>
      <c r="I92" s="5" t="s">
        <v>270</v>
      </c>
      <c r="J92" s="7" t="s">
        <v>107</v>
      </c>
      <c r="K92" s="7"/>
      <c r="L92" s="8"/>
      <c r="M92" s="7"/>
      <c r="N92" s="7"/>
      <c r="O92" s="8"/>
      <c r="P92" s="5" t="str">
        <f t="shared" si="2"/>
        <v>Pendiente</v>
      </c>
    </row>
    <row r="93" spans="1:16" ht="25.5">
      <c r="A93" s="6" t="s">
        <v>395</v>
      </c>
      <c r="B93" s="6" t="s">
        <v>70</v>
      </c>
      <c r="C93" s="6" t="s">
        <v>272</v>
      </c>
      <c r="D93" s="6" t="s">
        <v>396</v>
      </c>
      <c r="E93" s="11" t="s">
        <v>137</v>
      </c>
      <c r="F93" s="11" t="s">
        <v>138</v>
      </c>
      <c r="G93" s="6" t="s">
        <v>1185</v>
      </c>
      <c r="H93" s="6" t="s">
        <v>274</v>
      </c>
      <c r="I93" s="6" t="s">
        <v>275</v>
      </c>
      <c r="J93" s="7" t="s">
        <v>107</v>
      </c>
      <c r="K93" s="7"/>
      <c r="L93" s="8"/>
      <c r="M93" s="7"/>
      <c r="N93" s="7"/>
      <c r="O93" s="8"/>
      <c r="P93" s="6" t="str">
        <f t="shared" si="2"/>
        <v>Pendiente</v>
      </c>
    </row>
    <row r="94" spans="1:16" ht="25.5">
      <c r="A94" s="5" t="s">
        <v>397</v>
      </c>
      <c r="B94" s="5" t="s">
        <v>70</v>
      </c>
      <c r="C94" s="5" t="s">
        <v>277</v>
      </c>
      <c r="D94" s="5" t="s">
        <v>278</v>
      </c>
      <c r="E94" s="10" t="s">
        <v>137</v>
      </c>
      <c r="F94" s="10" t="s">
        <v>138</v>
      </c>
      <c r="G94" s="5" t="s">
        <v>395</v>
      </c>
      <c r="H94" s="5" t="s">
        <v>274</v>
      </c>
      <c r="I94" s="5" t="s">
        <v>279</v>
      </c>
      <c r="J94" s="7" t="s">
        <v>107</v>
      </c>
      <c r="K94" s="7"/>
      <c r="L94" s="8"/>
      <c r="M94" s="7"/>
      <c r="N94" s="7"/>
      <c r="O94" s="8"/>
      <c r="P94" s="5" t="str">
        <f t="shared" si="2"/>
        <v>Pendiente</v>
      </c>
    </row>
    <row r="95" spans="1:16" ht="25.5">
      <c r="A95" s="6" t="s">
        <v>398</v>
      </c>
      <c r="B95" s="6" t="s">
        <v>74</v>
      </c>
      <c r="C95" s="6" t="s">
        <v>242</v>
      </c>
      <c r="D95" s="6" t="s">
        <v>399</v>
      </c>
      <c r="E95" s="11" t="s">
        <v>137</v>
      </c>
      <c r="F95" s="11" t="s">
        <v>138</v>
      </c>
      <c r="G95" s="6" t="s">
        <v>400</v>
      </c>
      <c r="H95" s="6" t="s">
        <v>245</v>
      </c>
      <c r="I95" s="6" t="s">
        <v>246</v>
      </c>
      <c r="J95" s="7" t="s">
        <v>107</v>
      </c>
      <c r="K95" s="7"/>
      <c r="L95" s="8"/>
      <c r="M95" s="7"/>
      <c r="N95" s="7"/>
      <c r="O95" s="8"/>
      <c r="P95" s="6" t="str">
        <f t="shared" si="2"/>
        <v>Pendiente</v>
      </c>
    </row>
    <row r="96" spans="1:16" ht="25.5">
      <c r="A96" s="5" t="s">
        <v>401</v>
      </c>
      <c r="B96" s="5" t="s">
        <v>74</v>
      </c>
      <c r="C96" s="5" t="s">
        <v>248</v>
      </c>
      <c r="D96" s="5" t="s">
        <v>402</v>
      </c>
      <c r="E96" s="10" t="s">
        <v>137</v>
      </c>
      <c r="F96" s="10" t="s">
        <v>138</v>
      </c>
      <c r="G96" s="5" t="s">
        <v>398</v>
      </c>
      <c r="H96" s="5" t="s">
        <v>245</v>
      </c>
      <c r="I96" s="5" t="s">
        <v>250</v>
      </c>
      <c r="J96" s="7" t="s">
        <v>107</v>
      </c>
      <c r="K96" s="7"/>
      <c r="L96" s="8"/>
      <c r="M96" s="7"/>
      <c r="N96" s="7"/>
      <c r="O96" s="8"/>
      <c r="P96" s="5" t="str">
        <f t="shared" si="2"/>
        <v>Pendiente</v>
      </c>
    </row>
    <row r="97" spans="1:16" ht="38.25">
      <c r="A97" s="6" t="s">
        <v>403</v>
      </c>
      <c r="B97" s="6" t="s">
        <v>74</v>
      </c>
      <c r="C97" s="6" t="s">
        <v>252</v>
      </c>
      <c r="D97" s="6" t="s">
        <v>404</v>
      </c>
      <c r="E97" s="11" t="s">
        <v>254</v>
      </c>
      <c r="F97" s="11" t="s">
        <v>103</v>
      </c>
      <c r="G97" s="6" t="s">
        <v>1186</v>
      </c>
      <c r="H97" s="6" t="s">
        <v>245</v>
      </c>
      <c r="I97" s="6" t="s">
        <v>255</v>
      </c>
      <c r="J97" s="7" t="s">
        <v>107</v>
      </c>
      <c r="K97" s="7"/>
      <c r="L97" s="8"/>
      <c r="M97" s="7"/>
      <c r="N97" s="7"/>
      <c r="O97" s="8"/>
      <c r="P97" s="6" t="str">
        <f t="shared" si="2"/>
        <v>Pendiente</v>
      </c>
    </row>
    <row r="98" spans="1:16" ht="38.25">
      <c r="A98" s="5" t="s">
        <v>405</v>
      </c>
      <c r="B98" s="5" t="s">
        <v>74</v>
      </c>
      <c r="C98" s="5" t="s">
        <v>257</v>
      </c>
      <c r="D98" s="5" t="s">
        <v>406</v>
      </c>
      <c r="E98" s="10" t="s">
        <v>137</v>
      </c>
      <c r="F98" s="10" t="s">
        <v>138</v>
      </c>
      <c r="G98" s="5" t="s">
        <v>403</v>
      </c>
      <c r="H98" s="5" t="s">
        <v>245</v>
      </c>
      <c r="I98" s="5" t="s">
        <v>259</v>
      </c>
      <c r="J98" s="7" t="s">
        <v>107</v>
      </c>
      <c r="K98" s="7"/>
      <c r="L98" s="8"/>
      <c r="M98" s="7"/>
      <c r="N98" s="7"/>
      <c r="O98" s="8"/>
      <c r="P98" s="5" t="str">
        <f t="shared" si="2"/>
        <v>Pendiente</v>
      </c>
    </row>
    <row r="99" spans="1:16" ht="51">
      <c r="A99" s="6" t="s">
        <v>407</v>
      </c>
      <c r="B99" s="6" t="s">
        <v>74</v>
      </c>
      <c r="C99" s="6" t="s">
        <v>261</v>
      </c>
      <c r="D99" s="6" t="s">
        <v>408</v>
      </c>
      <c r="E99" s="11" t="s">
        <v>137</v>
      </c>
      <c r="F99" s="11" t="s">
        <v>138</v>
      </c>
      <c r="G99" s="6" t="s">
        <v>405</v>
      </c>
      <c r="H99" s="6" t="s">
        <v>245</v>
      </c>
      <c r="I99" s="6" t="s">
        <v>264</v>
      </c>
      <c r="J99" s="7" t="s">
        <v>107</v>
      </c>
      <c r="K99" s="7"/>
      <c r="L99" s="8"/>
      <c r="M99" s="7"/>
      <c r="N99" s="7"/>
      <c r="O99" s="8"/>
      <c r="P99" s="6" t="str">
        <f t="shared" si="2"/>
        <v>Pendiente</v>
      </c>
    </row>
    <row r="100" spans="1:16" ht="25.5">
      <c r="A100" s="5" t="s">
        <v>409</v>
      </c>
      <c r="B100" s="5" t="s">
        <v>74</v>
      </c>
      <c r="C100" s="5" t="s">
        <v>266</v>
      </c>
      <c r="D100" s="5" t="s">
        <v>410</v>
      </c>
      <c r="E100" s="10" t="s">
        <v>137</v>
      </c>
      <c r="F100" s="10" t="s">
        <v>138</v>
      </c>
      <c r="G100" s="5" t="s">
        <v>411</v>
      </c>
      <c r="H100" s="5" t="s">
        <v>269</v>
      </c>
      <c r="I100" s="5" t="s">
        <v>270</v>
      </c>
      <c r="J100" s="7" t="s">
        <v>107</v>
      </c>
      <c r="K100" s="7"/>
      <c r="L100" s="8"/>
      <c r="M100" s="7"/>
      <c r="N100" s="7"/>
      <c r="O100" s="8"/>
      <c r="P100" s="5" t="str">
        <f t="shared" si="2"/>
        <v>Pendiente</v>
      </c>
    </row>
    <row r="101" spans="1:16" ht="38.25">
      <c r="A101" s="6" t="s">
        <v>412</v>
      </c>
      <c r="B101" s="6" t="s">
        <v>74</v>
      </c>
      <c r="C101" s="6" t="s">
        <v>272</v>
      </c>
      <c r="D101" s="6" t="s">
        <v>413</v>
      </c>
      <c r="E101" s="11" t="s">
        <v>137</v>
      </c>
      <c r="F101" s="11" t="s">
        <v>138</v>
      </c>
      <c r="G101" s="6" t="s">
        <v>1187</v>
      </c>
      <c r="H101" s="6" t="s">
        <v>274</v>
      </c>
      <c r="I101" s="6" t="s">
        <v>275</v>
      </c>
      <c r="J101" s="7" t="s">
        <v>107</v>
      </c>
      <c r="K101" s="7"/>
      <c r="L101" s="8"/>
      <c r="M101" s="7"/>
      <c r="N101" s="7"/>
      <c r="O101" s="8"/>
      <c r="P101" s="6" t="str">
        <f t="shared" si="2"/>
        <v>Pendiente</v>
      </c>
    </row>
    <row r="102" spans="1:16" ht="25.5">
      <c r="A102" s="5" t="s">
        <v>414</v>
      </c>
      <c r="B102" s="5" t="s">
        <v>74</v>
      </c>
      <c r="C102" s="5" t="s">
        <v>277</v>
      </c>
      <c r="D102" s="5" t="s">
        <v>278</v>
      </c>
      <c r="E102" s="10" t="s">
        <v>137</v>
      </c>
      <c r="F102" s="10" t="s">
        <v>138</v>
      </c>
      <c r="G102" s="5" t="s">
        <v>412</v>
      </c>
      <c r="H102" s="5" t="s">
        <v>274</v>
      </c>
      <c r="I102" s="5" t="s">
        <v>279</v>
      </c>
      <c r="J102" s="7" t="s">
        <v>107</v>
      </c>
      <c r="K102" s="7"/>
      <c r="L102" s="8"/>
      <c r="M102" s="7"/>
      <c r="N102" s="7"/>
      <c r="O102" s="8"/>
      <c r="P102" s="5" t="str">
        <f t="shared" ref="P102:P117" si="3">IF(J102="Cerrado",IF(AND(K102&lt;&gt;"",M102&lt;&gt;"",N102&lt;&gt;"",ISNUMBER(O102)),"Cierre documentado","Falta evidencia o aceptación"),"Pendiente")</f>
        <v>Pendiente</v>
      </c>
    </row>
    <row r="103" spans="1:16" ht="25.5">
      <c r="A103" s="6" t="s">
        <v>415</v>
      </c>
      <c r="B103" s="6" t="s">
        <v>78</v>
      </c>
      <c r="C103" s="6" t="s">
        <v>242</v>
      </c>
      <c r="D103" s="6" t="s">
        <v>416</v>
      </c>
      <c r="E103" s="11" t="s">
        <v>137</v>
      </c>
      <c r="F103" s="11" t="s">
        <v>138</v>
      </c>
      <c r="G103" s="6" t="s">
        <v>244</v>
      </c>
      <c r="H103" s="6" t="s">
        <v>245</v>
      </c>
      <c r="I103" s="6" t="s">
        <v>246</v>
      </c>
      <c r="J103" s="7" t="s">
        <v>107</v>
      </c>
      <c r="K103" s="7"/>
      <c r="L103" s="8"/>
      <c r="M103" s="7"/>
      <c r="N103" s="7"/>
      <c r="O103" s="8"/>
      <c r="P103" s="6" t="str">
        <f t="shared" si="3"/>
        <v>Pendiente</v>
      </c>
    </row>
    <row r="104" spans="1:16" ht="25.5">
      <c r="A104" s="5" t="s">
        <v>417</v>
      </c>
      <c r="B104" s="5" t="s">
        <v>78</v>
      </c>
      <c r="C104" s="5" t="s">
        <v>248</v>
      </c>
      <c r="D104" s="5" t="s">
        <v>418</v>
      </c>
      <c r="E104" s="10" t="s">
        <v>137</v>
      </c>
      <c r="F104" s="10" t="s">
        <v>138</v>
      </c>
      <c r="G104" s="5" t="s">
        <v>415</v>
      </c>
      <c r="H104" s="5" t="s">
        <v>245</v>
      </c>
      <c r="I104" s="5" t="s">
        <v>250</v>
      </c>
      <c r="J104" s="7" t="s">
        <v>107</v>
      </c>
      <c r="K104" s="7"/>
      <c r="L104" s="8"/>
      <c r="M104" s="7"/>
      <c r="N104" s="7"/>
      <c r="O104" s="8"/>
      <c r="P104" s="5" t="str">
        <f t="shared" si="3"/>
        <v>Pendiente</v>
      </c>
    </row>
    <row r="105" spans="1:16" ht="38.25">
      <c r="A105" s="6" t="s">
        <v>419</v>
      </c>
      <c r="B105" s="6" t="s">
        <v>78</v>
      </c>
      <c r="C105" s="6" t="s">
        <v>252</v>
      </c>
      <c r="D105" s="6" t="s">
        <v>420</v>
      </c>
      <c r="E105" s="11" t="s">
        <v>254</v>
      </c>
      <c r="F105" s="11" t="s">
        <v>103</v>
      </c>
      <c r="G105" s="6" t="s">
        <v>1188</v>
      </c>
      <c r="H105" s="6" t="s">
        <v>245</v>
      </c>
      <c r="I105" s="6" t="s">
        <v>255</v>
      </c>
      <c r="J105" s="7" t="s">
        <v>107</v>
      </c>
      <c r="K105" s="7"/>
      <c r="L105" s="8"/>
      <c r="M105" s="7"/>
      <c r="N105" s="7"/>
      <c r="O105" s="8"/>
      <c r="P105" s="6" t="str">
        <f t="shared" si="3"/>
        <v>Pendiente</v>
      </c>
    </row>
    <row r="106" spans="1:16" ht="25.5">
      <c r="A106" s="5" t="s">
        <v>421</v>
      </c>
      <c r="B106" s="5" t="s">
        <v>78</v>
      </c>
      <c r="C106" s="5" t="s">
        <v>257</v>
      </c>
      <c r="D106" s="5" t="s">
        <v>422</v>
      </c>
      <c r="E106" s="10" t="s">
        <v>137</v>
      </c>
      <c r="F106" s="10" t="s">
        <v>138</v>
      </c>
      <c r="G106" s="5" t="s">
        <v>419</v>
      </c>
      <c r="H106" s="5" t="s">
        <v>245</v>
      </c>
      <c r="I106" s="5" t="s">
        <v>259</v>
      </c>
      <c r="J106" s="7" t="s">
        <v>107</v>
      </c>
      <c r="K106" s="7"/>
      <c r="L106" s="8"/>
      <c r="M106" s="7"/>
      <c r="N106" s="7"/>
      <c r="O106" s="8"/>
      <c r="P106" s="5" t="str">
        <f t="shared" si="3"/>
        <v>Pendiente</v>
      </c>
    </row>
    <row r="107" spans="1:16" ht="38.25">
      <c r="A107" s="6" t="s">
        <v>423</v>
      </c>
      <c r="B107" s="6" t="s">
        <v>78</v>
      </c>
      <c r="C107" s="6" t="s">
        <v>261</v>
      </c>
      <c r="D107" s="6" t="s">
        <v>424</v>
      </c>
      <c r="E107" s="11" t="s">
        <v>137</v>
      </c>
      <c r="F107" s="11" t="s">
        <v>138</v>
      </c>
      <c r="G107" s="6" t="s">
        <v>421</v>
      </c>
      <c r="H107" s="6" t="s">
        <v>245</v>
      </c>
      <c r="I107" s="6" t="s">
        <v>264</v>
      </c>
      <c r="J107" s="7" t="s">
        <v>107</v>
      </c>
      <c r="K107" s="7"/>
      <c r="L107" s="8"/>
      <c r="M107" s="7"/>
      <c r="N107" s="7"/>
      <c r="O107" s="8"/>
      <c r="P107" s="6" t="str">
        <f t="shared" si="3"/>
        <v>Pendiente</v>
      </c>
    </row>
    <row r="108" spans="1:16" ht="25.5">
      <c r="A108" s="5" t="s">
        <v>425</v>
      </c>
      <c r="B108" s="5" t="s">
        <v>78</v>
      </c>
      <c r="C108" s="5" t="s">
        <v>266</v>
      </c>
      <c r="D108" s="5" t="s">
        <v>426</v>
      </c>
      <c r="E108" s="10" t="s">
        <v>137</v>
      </c>
      <c r="F108" s="10" t="s">
        <v>138</v>
      </c>
      <c r="G108" s="5" t="s">
        <v>427</v>
      </c>
      <c r="H108" s="5" t="s">
        <v>269</v>
      </c>
      <c r="I108" s="5" t="s">
        <v>270</v>
      </c>
      <c r="J108" s="7" t="s">
        <v>107</v>
      </c>
      <c r="K108" s="7"/>
      <c r="L108" s="8"/>
      <c r="M108" s="7"/>
      <c r="N108" s="7"/>
      <c r="O108" s="8"/>
      <c r="P108" s="5" t="str">
        <f t="shared" si="3"/>
        <v>Pendiente</v>
      </c>
    </row>
    <row r="109" spans="1:16" ht="38.25">
      <c r="A109" s="6" t="s">
        <v>428</v>
      </c>
      <c r="B109" s="6" t="s">
        <v>78</v>
      </c>
      <c r="C109" s="6" t="s">
        <v>272</v>
      </c>
      <c r="D109" s="6" t="s">
        <v>429</v>
      </c>
      <c r="E109" s="11" t="s">
        <v>137</v>
      </c>
      <c r="F109" s="11" t="s">
        <v>138</v>
      </c>
      <c r="G109" s="6" t="s">
        <v>1189</v>
      </c>
      <c r="H109" s="6" t="s">
        <v>274</v>
      </c>
      <c r="I109" s="6" t="s">
        <v>275</v>
      </c>
      <c r="J109" s="7" t="s">
        <v>107</v>
      </c>
      <c r="K109" s="7"/>
      <c r="L109" s="8"/>
      <c r="M109" s="7"/>
      <c r="N109" s="7"/>
      <c r="O109" s="8"/>
      <c r="P109" s="6" t="str">
        <f t="shared" si="3"/>
        <v>Pendiente</v>
      </c>
    </row>
    <row r="110" spans="1:16" ht="25.5">
      <c r="A110" s="5" t="s">
        <v>430</v>
      </c>
      <c r="B110" s="5" t="s">
        <v>78</v>
      </c>
      <c r="C110" s="5" t="s">
        <v>277</v>
      </c>
      <c r="D110" s="5" t="s">
        <v>278</v>
      </c>
      <c r="E110" s="10" t="s">
        <v>137</v>
      </c>
      <c r="F110" s="10" t="s">
        <v>138</v>
      </c>
      <c r="G110" s="5" t="s">
        <v>428</v>
      </c>
      <c r="H110" s="5" t="s">
        <v>274</v>
      </c>
      <c r="I110" s="5" t="s">
        <v>279</v>
      </c>
      <c r="J110" s="7" t="s">
        <v>107</v>
      </c>
      <c r="K110" s="7"/>
      <c r="L110" s="8"/>
      <c r="M110" s="7"/>
      <c r="N110" s="7"/>
      <c r="O110" s="8"/>
      <c r="P110" s="5" t="str">
        <f t="shared" si="3"/>
        <v>Pendiente</v>
      </c>
    </row>
    <row r="111" spans="1:16" ht="38.25">
      <c r="A111" s="6" t="s">
        <v>431</v>
      </c>
      <c r="B111" s="6" t="s">
        <v>100</v>
      </c>
      <c r="C111" s="6" t="s">
        <v>432</v>
      </c>
      <c r="D111" s="6" t="s">
        <v>433</v>
      </c>
      <c r="E111" s="11" t="s">
        <v>111</v>
      </c>
      <c r="F111" s="11" t="s">
        <v>104</v>
      </c>
      <c r="G111" s="6" t="s">
        <v>434</v>
      </c>
      <c r="H111" s="6" t="s">
        <v>165</v>
      </c>
      <c r="I111" s="6" t="s">
        <v>435</v>
      </c>
      <c r="J111" s="7" t="s">
        <v>107</v>
      </c>
      <c r="K111" s="7"/>
      <c r="L111" s="8"/>
      <c r="M111" s="7"/>
      <c r="N111" s="7"/>
      <c r="O111" s="8"/>
      <c r="P111" s="6" t="str">
        <f t="shared" si="3"/>
        <v>Pendiente</v>
      </c>
    </row>
    <row r="112" spans="1:16" ht="25.5">
      <c r="A112" s="5" t="s">
        <v>436</v>
      </c>
      <c r="B112" s="5" t="s">
        <v>100</v>
      </c>
      <c r="C112" s="5" t="s">
        <v>437</v>
      </c>
      <c r="D112" s="5" t="s">
        <v>438</v>
      </c>
      <c r="E112" s="10" t="s">
        <v>111</v>
      </c>
      <c r="F112" s="10" t="s">
        <v>104</v>
      </c>
      <c r="G112" s="5" t="s">
        <v>439</v>
      </c>
      <c r="H112" s="5" t="s">
        <v>440</v>
      </c>
      <c r="I112" s="5" t="s">
        <v>441</v>
      </c>
      <c r="J112" s="7" t="s">
        <v>107</v>
      </c>
      <c r="K112" s="7"/>
      <c r="L112" s="8"/>
      <c r="M112" s="7"/>
      <c r="N112" s="7"/>
      <c r="O112" s="8"/>
      <c r="P112" s="5" t="str">
        <f t="shared" si="3"/>
        <v>Pendiente</v>
      </c>
    </row>
    <row r="113" spans="1:16" ht="25.5">
      <c r="A113" s="6" t="s">
        <v>442</v>
      </c>
      <c r="B113" s="6" t="s">
        <v>100</v>
      </c>
      <c r="C113" s="6" t="s">
        <v>443</v>
      </c>
      <c r="D113" s="6" t="s">
        <v>444</v>
      </c>
      <c r="E113" s="11" t="s">
        <v>111</v>
      </c>
      <c r="F113" s="11" t="s">
        <v>104</v>
      </c>
      <c r="G113" s="6" t="s">
        <v>436</v>
      </c>
      <c r="H113" s="6" t="s">
        <v>445</v>
      </c>
      <c r="I113" s="6" t="s">
        <v>446</v>
      </c>
      <c r="J113" s="7" t="s">
        <v>107</v>
      </c>
      <c r="K113" s="7"/>
      <c r="L113" s="8"/>
      <c r="M113" s="7"/>
      <c r="N113" s="7"/>
      <c r="O113" s="8"/>
      <c r="P113" s="6" t="str">
        <f t="shared" si="3"/>
        <v>Pendiente</v>
      </c>
    </row>
    <row r="114" spans="1:16" ht="25.5">
      <c r="A114" s="5" t="s">
        <v>447</v>
      </c>
      <c r="B114" s="5" t="s">
        <v>100</v>
      </c>
      <c r="C114" s="5" t="s">
        <v>448</v>
      </c>
      <c r="D114" s="5" t="s">
        <v>449</v>
      </c>
      <c r="E114" s="10" t="s">
        <v>1190</v>
      </c>
      <c r="F114" s="10" t="s">
        <v>138</v>
      </c>
      <c r="G114" s="5" t="s">
        <v>442</v>
      </c>
      <c r="H114" s="5" t="s">
        <v>450</v>
      </c>
      <c r="I114" s="5" t="s">
        <v>451</v>
      </c>
      <c r="J114" s="7" t="s">
        <v>107</v>
      </c>
      <c r="K114" s="7"/>
      <c r="L114" s="8"/>
      <c r="M114" s="7"/>
      <c r="N114" s="7"/>
      <c r="O114" s="8"/>
      <c r="P114" s="5" t="str">
        <f t="shared" si="3"/>
        <v>Pendiente</v>
      </c>
    </row>
    <row r="115" spans="1:16" ht="25.5">
      <c r="A115" s="6" t="s">
        <v>452</v>
      </c>
      <c r="B115" s="6" t="s">
        <v>100</v>
      </c>
      <c r="C115" s="6" t="s">
        <v>453</v>
      </c>
      <c r="D115" s="6" t="s">
        <v>454</v>
      </c>
      <c r="E115" s="11" t="s">
        <v>111</v>
      </c>
      <c r="F115" s="11" t="s">
        <v>104</v>
      </c>
      <c r="G115" s="6" t="s">
        <v>447</v>
      </c>
      <c r="H115" s="6" t="s">
        <v>455</v>
      </c>
      <c r="I115" s="6" t="s">
        <v>456</v>
      </c>
      <c r="J115" s="7" t="s">
        <v>107</v>
      </c>
      <c r="K115" s="7"/>
      <c r="L115" s="8"/>
      <c r="M115" s="7"/>
      <c r="N115" s="7"/>
      <c r="O115" s="8"/>
      <c r="P115" s="6" t="str">
        <f t="shared" si="3"/>
        <v>Pendiente</v>
      </c>
    </row>
    <row r="116" spans="1:16" ht="25.5">
      <c r="A116" s="5" t="s">
        <v>457</v>
      </c>
      <c r="B116" s="5" t="s">
        <v>100</v>
      </c>
      <c r="C116" s="5" t="s">
        <v>458</v>
      </c>
      <c r="D116" s="5" t="s">
        <v>459</v>
      </c>
      <c r="E116" s="10" t="s">
        <v>103</v>
      </c>
      <c r="F116" s="10" t="s">
        <v>104</v>
      </c>
      <c r="G116" s="5" t="s">
        <v>452</v>
      </c>
      <c r="H116" s="5" t="s">
        <v>460</v>
      </c>
      <c r="I116" s="5" t="s">
        <v>461</v>
      </c>
      <c r="J116" s="7" t="s">
        <v>107</v>
      </c>
      <c r="K116" s="7"/>
      <c r="L116" s="8"/>
      <c r="M116" s="7"/>
      <c r="N116" s="7"/>
      <c r="O116" s="8"/>
      <c r="P116" s="5" t="str">
        <f t="shared" si="3"/>
        <v>Pendiente</v>
      </c>
    </row>
    <row r="117" spans="1:16" ht="25.5">
      <c r="A117" s="6" t="s">
        <v>462</v>
      </c>
      <c r="B117" s="6" t="s">
        <v>100</v>
      </c>
      <c r="C117" s="6" t="s">
        <v>463</v>
      </c>
      <c r="D117" s="6" t="s">
        <v>464</v>
      </c>
      <c r="E117" s="11" t="s">
        <v>103</v>
      </c>
      <c r="F117" s="11" t="s">
        <v>103</v>
      </c>
      <c r="G117" s="6" t="s">
        <v>457</v>
      </c>
      <c r="H117" s="6" t="s">
        <v>465</v>
      </c>
      <c r="I117" s="6" t="s">
        <v>466</v>
      </c>
      <c r="J117" s="7" t="s">
        <v>107</v>
      </c>
      <c r="K117" s="7"/>
      <c r="L117" s="8"/>
      <c r="M117" s="7"/>
      <c r="N117" s="7"/>
      <c r="O117" s="8"/>
      <c r="P117" s="6" t="str">
        <f t="shared" si="3"/>
        <v>Pendiente</v>
      </c>
    </row>
    <row r="118" spans="1:16" ht="25.5">
      <c r="A118" s="34" t="s">
        <v>1191</v>
      </c>
      <c r="B118" s="6" t="s">
        <v>100</v>
      </c>
      <c r="C118" s="6" t="s">
        <v>1192</v>
      </c>
      <c r="D118" s="6" t="s">
        <v>1193</v>
      </c>
      <c r="E118" s="11" t="s">
        <v>1194</v>
      </c>
      <c r="F118" s="11" t="s">
        <v>104</v>
      </c>
      <c r="G118" s="6" t="s">
        <v>1195</v>
      </c>
      <c r="H118" s="6" t="s">
        <v>1196</v>
      </c>
      <c r="I118" s="6" t="s">
        <v>1197</v>
      </c>
      <c r="J118" s="35" t="s">
        <v>107</v>
      </c>
      <c r="K118" s="35"/>
      <c r="L118" s="36"/>
      <c r="M118" s="35"/>
      <c r="N118" s="35"/>
      <c r="O118" s="36"/>
      <c r="P118" s="6" t="str">
        <f>IF(J118="Cerrado",IF(AND(K118&lt;&gt;"",M118&lt;&gt;"",N118&lt;&gt;"",ISNUMBER(O118)),"Cierre documentado","Falta evidencia o aceptación"),"Pendiente")</f>
        <v>Pendiente</v>
      </c>
    </row>
    <row r="119" spans="1:16" ht="38.25">
      <c r="A119" s="34" t="s">
        <v>1198</v>
      </c>
      <c r="B119" s="6" t="s">
        <v>100</v>
      </c>
      <c r="C119" s="6" t="s">
        <v>1199</v>
      </c>
      <c r="D119" s="6" t="s">
        <v>1200</v>
      </c>
      <c r="E119" s="11" t="s">
        <v>175</v>
      </c>
      <c r="F119" s="11" t="s">
        <v>103</v>
      </c>
      <c r="G119" s="6" t="s">
        <v>118</v>
      </c>
      <c r="H119" s="6" t="s">
        <v>1201</v>
      </c>
      <c r="I119" s="6" t="s">
        <v>1202</v>
      </c>
      <c r="J119" s="35" t="s">
        <v>107</v>
      </c>
      <c r="K119" s="35"/>
      <c r="L119" s="36"/>
      <c r="M119" s="35"/>
      <c r="N119" s="35"/>
      <c r="O119" s="36"/>
      <c r="P119" s="6" t="str">
        <f>IF(J119="Cerrado",IF(AND(K119&lt;&gt;"",M119&lt;&gt;"",N119&lt;&gt;"",ISNUMBER(O119)),"Cierre documentado","Falta evidencia o aceptación"),"Pendiente")</f>
        <v>Pendiente</v>
      </c>
    </row>
    <row r="120" spans="1:16" ht="38.25">
      <c r="A120" s="34" t="s">
        <v>1203</v>
      </c>
      <c r="B120" s="6" t="s">
        <v>100</v>
      </c>
      <c r="C120" s="6" t="s">
        <v>1204</v>
      </c>
      <c r="D120" s="6" t="s">
        <v>1205</v>
      </c>
      <c r="E120" s="11" t="s">
        <v>1190</v>
      </c>
      <c r="F120" s="11" t="s">
        <v>103</v>
      </c>
      <c r="G120" s="6" t="s">
        <v>1206</v>
      </c>
      <c r="H120" s="6" t="s">
        <v>1207</v>
      </c>
      <c r="I120" s="6" t="s">
        <v>1208</v>
      </c>
      <c r="J120" s="35" t="s">
        <v>107</v>
      </c>
      <c r="K120" s="35"/>
      <c r="L120" s="36"/>
      <c r="M120" s="35"/>
      <c r="N120" s="35"/>
      <c r="O120" s="36"/>
      <c r="P120" s="6" t="str">
        <f>IF(J120="Cerrado",IF(AND(K120&lt;&gt;"",M120&lt;&gt;"",N120&lt;&gt;"",ISNUMBER(O120)),"Cierre documentado","Falta evidencia o aceptación"),"Pendiente")</f>
        <v>Pendiente</v>
      </c>
    </row>
    <row r="121" spans="1:16" ht="25.5">
      <c r="A121" s="34" t="s">
        <v>1209</v>
      </c>
      <c r="B121" s="6" t="s">
        <v>100</v>
      </c>
      <c r="C121" s="6" t="s">
        <v>1210</v>
      </c>
      <c r="D121" s="6" t="s">
        <v>1211</v>
      </c>
      <c r="E121" s="11" t="s">
        <v>1190</v>
      </c>
      <c r="F121" s="11" t="s">
        <v>103</v>
      </c>
      <c r="G121" s="6" t="s">
        <v>1203</v>
      </c>
      <c r="H121" s="6" t="s">
        <v>1212</v>
      </c>
      <c r="I121" s="6" t="s">
        <v>1213</v>
      </c>
      <c r="J121" s="35" t="s">
        <v>107</v>
      </c>
      <c r="K121" s="35"/>
      <c r="L121" s="36"/>
      <c r="M121" s="35"/>
      <c r="N121" s="35"/>
      <c r="O121" s="36"/>
      <c r="P121" s="6" t="str">
        <f>IF(J121="Cerrado",IF(AND(K121&lt;&gt;"",M121&lt;&gt;"",N121&lt;&gt;"",ISNUMBER(O121)),"Cierre documentado","Falta evidencia o aceptación"),"Pendiente")</f>
        <v>Pendiente</v>
      </c>
    </row>
  </sheetData>
  <conditionalFormatting sqref="J6:J117">
    <cfRule type="containsText" dxfId="4" priority="2" operator="containsText" text="Bloqueado"/>
  </conditionalFormatting>
  <conditionalFormatting sqref="P6:P117">
    <cfRule type="containsText" dxfId="3" priority="1" operator="containsText" text="Falta"/>
  </conditionalFormatting>
  <dataValidations count="1">
    <dataValidation type="list" sqref="J6:J117" xr:uid="{00000000-0002-0000-0200-000000000000}">
      <formula1>"Propuesto,En curso,Bloqueado,Cerrado,Diferido"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12" customWidth="1"/>
    <col min="2" max="2" width="35.25" customWidth="1"/>
    <col min="3" max="13" width="10" customWidth="1"/>
    <col min="14" max="15" width="12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24.95" customHeight="1">
      <c r="A2" s="2" t="s">
        <v>467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20.100000000000001" customHeight="1">
      <c r="A3" s="3" t="s">
        <v>468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39.950000000000003" customHeight="1">
      <c r="A5" s="4" t="s">
        <v>25</v>
      </c>
      <c r="B5" s="4" t="s">
        <v>86</v>
      </c>
      <c r="C5" s="4" t="s">
        <v>104</v>
      </c>
      <c r="D5" s="4" t="s">
        <v>111</v>
      </c>
      <c r="E5" s="4" t="s">
        <v>138</v>
      </c>
      <c r="F5" s="4" t="s">
        <v>137</v>
      </c>
      <c r="G5" s="4" t="s">
        <v>469</v>
      </c>
      <c r="H5" s="4" t="s">
        <v>170</v>
      </c>
      <c r="I5" s="4" t="s">
        <v>144</v>
      </c>
      <c r="J5" s="4" t="s">
        <v>103</v>
      </c>
      <c r="K5" s="4" t="s">
        <v>254</v>
      </c>
      <c r="L5" s="4" t="s">
        <v>175</v>
      </c>
      <c r="M5" s="4" t="s">
        <v>470</v>
      </c>
      <c r="N5" s="27" t="s">
        <v>1194</v>
      </c>
      <c r="O5" s="27" t="s">
        <v>1190</v>
      </c>
    </row>
    <row r="6" spans="1:15" ht="27.95" customHeight="1">
      <c r="A6" s="18" t="s">
        <v>471</v>
      </c>
      <c r="B6" s="18" t="s">
        <v>472</v>
      </c>
      <c r="C6" s="21" t="s">
        <v>89</v>
      </c>
      <c r="D6" s="21" t="s">
        <v>88</v>
      </c>
      <c r="E6" s="21" t="s">
        <v>473</v>
      </c>
      <c r="F6" s="21"/>
      <c r="G6" s="21"/>
      <c r="H6" s="21" t="s">
        <v>473</v>
      </c>
      <c r="I6" s="21" t="s">
        <v>473</v>
      </c>
      <c r="J6" s="21" t="s">
        <v>473</v>
      </c>
      <c r="K6" s="21"/>
      <c r="L6" s="21"/>
      <c r="M6" s="21"/>
      <c r="N6" s="28" t="s">
        <v>88</v>
      </c>
      <c r="O6" s="28" t="s">
        <v>476</v>
      </c>
    </row>
    <row r="7" spans="1:15" ht="27.95" customHeight="1">
      <c r="A7" s="19" t="s">
        <v>474</v>
      </c>
      <c r="B7" s="19" t="s">
        <v>475</v>
      </c>
      <c r="C7" s="20" t="s">
        <v>89</v>
      </c>
      <c r="D7" s="20" t="s">
        <v>88</v>
      </c>
      <c r="E7" s="20" t="s">
        <v>473</v>
      </c>
      <c r="F7" s="20" t="s">
        <v>476</v>
      </c>
      <c r="G7" s="20"/>
      <c r="H7" s="20" t="s">
        <v>476</v>
      </c>
      <c r="I7" s="20" t="s">
        <v>476</v>
      </c>
      <c r="J7" s="20" t="s">
        <v>88</v>
      </c>
      <c r="K7" s="20" t="s">
        <v>473</v>
      </c>
      <c r="L7" s="20" t="s">
        <v>473</v>
      </c>
      <c r="M7" s="20"/>
      <c r="N7" s="29" t="s">
        <v>473</v>
      </c>
      <c r="O7" s="29" t="s">
        <v>476</v>
      </c>
    </row>
    <row r="8" spans="1:15" ht="30">
      <c r="A8" s="18" t="s">
        <v>477</v>
      </c>
      <c r="B8" s="18" t="s">
        <v>478</v>
      </c>
      <c r="C8" s="21"/>
      <c r="D8" s="21" t="s">
        <v>476</v>
      </c>
      <c r="E8" s="21" t="s">
        <v>89</v>
      </c>
      <c r="F8" s="21" t="s">
        <v>88</v>
      </c>
      <c r="G8" s="21"/>
      <c r="H8" s="21"/>
      <c r="I8" s="21" t="s">
        <v>473</v>
      </c>
      <c r="J8" s="21" t="s">
        <v>476</v>
      </c>
      <c r="K8" s="21" t="s">
        <v>473</v>
      </c>
      <c r="L8" s="21"/>
      <c r="M8" s="21"/>
      <c r="N8" s="28" t="s">
        <v>476</v>
      </c>
      <c r="O8" s="28" t="s">
        <v>476</v>
      </c>
    </row>
    <row r="9" spans="1:15" ht="30">
      <c r="A9" s="19" t="s">
        <v>479</v>
      </c>
      <c r="B9" s="19" t="s">
        <v>480</v>
      </c>
      <c r="C9" s="20"/>
      <c r="D9" s="20" t="s">
        <v>476</v>
      </c>
      <c r="E9" s="20" t="s">
        <v>476</v>
      </c>
      <c r="F9" s="20" t="s">
        <v>473</v>
      </c>
      <c r="G9" s="20"/>
      <c r="H9" s="20"/>
      <c r="I9" s="20" t="s">
        <v>473</v>
      </c>
      <c r="J9" s="20" t="s">
        <v>89</v>
      </c>
      <c r="K9" s="20" t="s">
        <v>88</v>
      </c>
      <c r="L9" s="20" t="s">
        <v>88</v>
      </c>
      <c r="M9" s="20"/>
      <c r="N9" s="29" t="s">
        <v>476</v>
      </c>
      <c r="O9" s="29" t="s">
        <v>476</v>
      </c>
    </row>
    <row r="10" spans="1:15" ht="27.95" customHeight="1">
      <c r="A10" s="18" t="s">
        <v>481</v>
      </c>
      <c r="B10" s="18" t="s">
        <v>482</v>
      </c>
      <c r="C10" s="21"/>
      <c r="D10" s="21" t="s">
        <v>476</v>
      </c>
      <c r="E10" s="21"/>
      <c r="F10" s="21" t="s">
        <v>473</v>
      </c>
      <c r="G10" s="21"/>
      <c r="H10" s="21" t="s">
        <v>473</v>
      </c>
      <c r="I10" s="21" t="s">
        <v>483</v>
      </c>
      <c r="J10" s="21" t="s">
        <v>476</v>
      </c>
      <c r="K10" s="21"/>
      <c r="L10" s="21" t="s">
        <v>473</v>
      </c>
      <c r="M10" s="21"/>
      <c r="N10" s="28" t="s">
        <v>473</v>
      </c>
      <c r="O10" s="28" t="s">
        <v>476</v>
      </c>
    </row>
    <row r="11" spans="1:15" ht="27.95" customHeight="1">
      <c r="A11" s="19" t="s">
        <v>484</v>
      </c>
      <c r="B11" s="19" t="s">
        <v>485</v>
      </c>
      <c r="C11" s="20"/>
      <c r="D11" s="20" t="s">
        <v>476</v>
      </c>
      <c r="E11" s="20" t="s">
        <v>89</v>
      </c>
      <c r="F11" s="20" t="s">
        <v>88</v>
      </c>
      <c r="G11" s="20"/>
      <c r="H11" s="20"/>
      <c r="I11" s="20" t="s">
        <v>473</v>
      </c>
      <c r="J11" s="20" t="s">
        <v>476</v>
      </c>
      <c r="K11" s="20" t="s">
        <v>473</v>
      </c>
      <c r="L11" s="20" t="s">
        <v>473</v>
      </c>
      <c r="M11" s="20"/>
      <c r="N11" s="29" t="s">
        <v>473</v>
      </c>
      <c r="O11" s="29" t="s">
        <v>476</v>
      </c>
    </row>
    <row r="12" spans="1:15" ht="27.95" customHeight="1">
      <c r="A12" s="18" t="s">
        <v>486</v>
      </c>
      <c r="B12" s="18" t="s">
        <v>487</v>
      </c>
      <c r="C12" s="21"/>
      <c r="D12" s="21" t="s">
        <v>476</v>
      </c>
      <c r="E12" s="21" t="s">
        <v>476</v>
      </c>
      <c r="F12" s="21" t="s">
        <v>473</v>
      </c>
      <c r="G12" s="21"/>
      <c r="H12" s="21" t="s">
        <v>473</v>
      </c>
      <c r="I12" s="21" t="s">
        <v>473</v>
      </c>
      <c r="J12" s="21" t="s">
        <v>89</v>
      </c>
      <c r="K12" s="21" t="s">
        <v>88</v>
      </c>
      <c r="L12" s="21"/>
      <c r="M12" s="21"/>
      <c r="N12" s="28" t="s">
        <v>476</v>
      </c>
      <c r="O12" s="28" t="s">
        <v>88</v>
      </c>
    </row>
    <row r="13" spans="1:15" ht="27.95" customHeight="1">
      <c r="A13" s="19" t="s">
        <v>488</v>
      </c>
      <c r="B13" s="19" t="s">
        <v>489</v>
      </c>
      <c r="C13" s="20"/>
      <c r="D13" s="20" t="s">
        <v>476</v>
      </c>
      <c r="E13" s="20" t="s">
        <v>89</v>
      </c>
      <c r="F13" s="20" t="s">
        <v>88</v>
      </c>
      <c r="G13" s="20" t="s">
        <v>88</v>
      </c>
      <c r="H13" s="20" t="s">
        <v>473</v>
      </c>
      <c r="I13" s="20"/>
      <c r="J13" s="20" t="s">
        <v>476</v>
      </c>
      <c r="K13" s="20" t="s">
        <v>473</v>
      </c>
      <c r="L13" s="20"/>
      <c r="M13" s="20"/>
      <c r="N13" s="29" t="s">
        <v>476</v>
      </c>
      <c r="O13" s="29" t="s">
        <v>473</v>
      </c>
    </row>
    <row r="14" spans="1:15" ht="27.95" customHeight="1">
      <c r="A14" s="18" t="s">
        <v>490</v>
      </c>
      <c r="B14" s="18" t="s">
        <v>491</v>
      </c>
      <c r="C14" s="21"/>
      <c r="D14" s="21" t="s">
        <v>476</v>
      </c>
      <c r="E14" s="21" t="s">
        <v>89</v>
      </c>
      <c r="F14" s="21" t="s">
        <v>88</v>
      </c>
      <c r="G14" s="21" t="s">
        <v>88</v>
      </c>
      <c r="H14" s="21"/>
      <c r="I14" s="21" t="s">
        <v>473</v>
      </c>
      <c r="J14" s="21" t="s">
        <v>476</v>
      </c>
      <c r="K14" s="21" t="s">
        <v>473</v>
      </c>
      <c r="L14" s="21" t="s">
        <v>473</v>
      </c>
      <c r="M14" s="21"/>
      <c r="N14" s="28" t="s">
        <v>476</v>
      </c>
      <c r="O14" s="28" t="s">
        <v>473</v>
      </c>
    </row>
    <row r="15" spans="1:15" ht="27.95" customHeight="1">
      <c r="A15" s="19" t="s">
        <v>492</v>
      </c>
      <c r="B15" s="19" t="s">
        <v>493</v>
      </c>
      <c r="C15" s="20"/>
      <c r="D15" s="20" t="s">
        <v>476</v>
      </c>
      <c r="E15" s="20" t="s">
        <v>476</v>
      </c>
      <c r="F15" s="20" t="s">
        <v>473</v>
      </c>
      <c r="G15" s="20"/>
      <c r="H15" s="20" t="s">
        <v>476</v>
      </c>
      <c r="I15" s="20" t="s">
        <v>473</v>
      </c>
      <c r="J15" s="20" t="s">
        <v>89</v>
      </c>
      <c r="K15" s="20" t="s">
        <v>473</v>
      </c>
      <c r="L15" s="20" t="s">
        <v>88</v>
      </c>
      <c r="M15" s="20"/>
      <c r="N15" s="29" t="s">
        <v>476</v>
      </c>
      <c r="O15" s="29" t="s">
        <v>476</v>
      </c>
    </row>
    <row r="16" spans="1:15" ht="27.95" customHeight="1">
      <c r="A16" s="18" t="s">
        <v>494</v>
      </c>
      <c r="B16" s="18" t="s">
        <v>495</v>
      </c>
      <c r="C16" s="21"/>
      <c r="D16" s="21" t="s">
        <v>476</v>
      </c>
      <c r="E16" s="21" t="s">
        <v>89</v>
      </c>
      <c r="F16" s="21" t="s">
        <v>88</v>
      </c>
      <c r="G16" s="21" t="s">
        <v>88</v>
      </c>
      <c r="H16" s="21" t="s">
        <v>473</v>
      </c>
      <c r="I16" s="21" t="s">
        <v>473</v>
      </c>
      <c r="J16" s="21" t="s">
        <v>476</v>
      </c>
      <c r="K16" s="21" t="s">
        <v>473</v>
      </c>
      <c r="L16" s="21"/>
      <c r="M16" s="21"/>
      <c r="N16" s="28" t="s">
        <v>476</v>
      </c>
      <c r="O16" s="28" t="s">
        <v>473</v>
      </c>
    </row>
    <row r="17" spans="1:15" ht="27.95" customHeight="1">
      <c r="A17" s="19" t="s">
        <v>496</v>
      </c>
      <c r="B17" s="19" t="s">
        <v>497</v>
      </c>
      <c r="C17" s="20" t="s">
        <v>89</v>
      </c>
      <c r="D17" s="20" t="s">
        <v>88</v>
      </c>
      <c r="E17" s="20" t="s">
        <v>473</v>
      </c>
      <c r="F17" s="20" t="s">
        <v>476</v>
      </c>
      <c r="G17" s="20" t="s">
        <v>476</v>
      </c>
      <c r="H17" s="20" t="s">
        <v>473</v>
      </c>
      <c r="I17" s="20" t="s">
        <v>473</v>
      </c>
      <c r="J17" s="20" t="s">
        <v>88</v>
      </c>
      <c r="K17" s="20"/>
      <c r="L17" s="20" t="s">
        <v>473</v>
      </c>
      <c r="M17" s="20"/>
      <c r="N17" s="29" t="s">
        <v>473</v>
      </c>
      <c r="O17" s="29" t="s">
        <v>473</v>
      </c>
    </row>
    <row r="18" spans="1:15" ht="27.95" customHeight="1">
      <c r="A18" s="18" t="s">
        <v>498</v>
      </c>
      <c r="B18" s="18" t="s">
        <v>499</v>
      </c>
      <c r="C18" s="21"/>
      <c r="D18" s="21" t="s">
        <v>473</v>
      </c>
      <c r="E18" s="21" t="s">
        <v>476</v>
      </c>
      <c r="F18" s="21" t="s">
        <v>473</v>
      </c>
      <c r="G18" s="21"/>
      <c r="H18" s="21" t="s">
        <v>476</v>
      </c>
      <c r="I18" s="21" t="s">
        <v>483</v>
      </c>
      <c r="J18" s="21" t="s">
        <v>473</v>
      </c>
      <c r="K18" s="21"/>
      <c r="L18" s="21" t="s">
        <v>88</v>
      </c>
      <c r="M18" s="21" t="s">
        <v>473</v>
      </c>
      <c r="N18" s="28" t="s">
        <v>473</v>
      </c>
      <c r="O18" s="28" t="s">
        <v>476</v>
      </c>
    </row>
    <row r="19" spans="1:15" ht="27.95" customHeight="1">
      <c r="A19" s="19" t="s">
        <v>500</v>
      </c>
      <c r="B19" s="19" t="s">
        <v>501</v>
      </c>
      <c r="C19" s="20" t="s">
        <v>89</v>
      </c>
      <c r="D19" s="20" t="s">
        <v>88</v>
      </c>
      <c r="E19" s="20" t="s">
        <v>473</v>
      </c>
      <c r="F19" s="20" t="s">
        <v>476</v>
      </c>
      <c r="G19" s="20" t="s">
        <v>476</v>
      </c>
      <c r="H19" s="20" t="s">
        <v>473</v>
      </c>
      <c r="I19" s="20" t="s">
        <v>88</v>
      </c>
      <c r="J19" s="20" t="s">
        <v>88</v>
      </c>
      <c r="K19" s="20"/>
      <c r="L19" s="20" t="s">
        <v>473</v>
      </c>
      <c r="M19" s="20"/>
      <c r="N19" s="29" t="s">
        <v>473</v>
      </c>
      <c r="O19" s="29" t="s">
        <v>476</v>
      </c>
    </row>
    <row r="20" spans="1:15" ht="27.95" customHeight="1">
      <c r="A20" s="18" t="s">
        <v>502</v>
      </c>
      <c r="B20" s="18" t="s">
        <v>503</v>
      </c>
      <c r="C20" s="21"/>
      <c r="D20" s="21" t="s">
        <v>476</v>
      </c>
      <c r="E20" s="21"/>
      <c r="F20" s="21" t="s">
        <v>473</v>
      </c>
      <c r="G20" s="21"/>
      <c r="H20" s="21" t="s">
        <v>483</v>
      </c>
      <c r="I20" s="21" t="s">
        <v>473</v>
      </c>
      <c r="J20" s="21"/>
      <c r="K20" s="21"/>
      <c r="L20" s="21"/>
      <c r="M20" s="21"/>
      <c r="N20" s="28" t="s">
        <v>476</v>
      </c>
      <c r="O20" s="28" t="s">
        <v>473</v>
      </c>
    </row>
    <row r="21" spans="1:15" ht="27.95" customHeight="1">
      <c r="A21" s="19" t="s">
        <v>504</v>
      </c>
      <c r="B21" s="19" t="s">
        <v>505</v>
      </c>
      <c r="C21" s="20"/>
      <c r="D21" s="20"/>
      <c r="E21" s="20" t="s">
        <v>89</v>
      </c>
      <c r="F21" s="20" t="s">
        <v>88</v>
      </c>
      <c r="G21" s="20" t="s">
        <v>476</v>
      </c>
      <c r="H21" s="20" t="s">
        <v>473</v>
      </c>
      <c r="I21" s="20"/>
      <c r="J21" s="20"/>
      <c r="K21" s="20" t="s">
        <v>473</v>
      </c>
      <c r="L21" s="20"/>
      <c r="M21" s="20"/>
      <c r="N21" s="29" t="s">
        <v>476</v>
      </c>
      <c r="O21" s="29" t="s">
        <v>473</v>
      </c>
    </row>
    <row r="22" spans="1:15" ht="30">
      <c r="A22" s="18" t="s">
        <v>506</v>
      </c>
      <c r="B22" s="18" t="s">
        <v>507</v>
      </c>
      <c r="C22" s="21"/>
      <c r="D22" s="21" t="s">
        <v>476</v>
      </c>
      <c r="E22" s="21"/>
      <c r="F22" s="21"/>
      <c r="G22" s="21"/>
      <c r="H22" s="21" t="s">
        <v>473</v>
      </c>
      <c r="I22" s="21" t="s">
        <v>483</v>
      </c>
      <c r="J22" s="21" t="s">
        <v>476</v>
      </c>
      <c r="K22" s="21"/>
      <c r="L22" s="21" t="s">
        <v>473</v>
      </c>
      <c r="M22" s="21" t="s">
        <v>473</v>
      </c>
      <c r="N22" s="28" t="s">
        <v>473</v>
      </c>
      <c r="O22" s="28" t="s">
        <v>476</v>
      </c>
    </row>
    <row r="23" spans="1:15" ht="27.95" customHeight="1">
      <c r="A23" s="19" t="s">
        <v>508</v>
      </c>
      <c r="B23" s="19" t="s">
        <v>509</v>
      </c>
      <c r="C23" s="20"/>
      <c r="D23" s="20" t="s">
        <v>476</v>
      </c>
      <c r="E23" s="20" t="s">
        <v>476</v>
      </c>
      <c r="F23" s="20" t="s">
        <v>473</v>
      </c>
      <c r="G23" s="20"/>
      <c r="H23" s="20" t="s">
        <v>473</v>
      </c>
      <c r="I23" s="20" t="s">
        <v>473</v>
      </c>
      <c r="J23" s="20" t="s">
        <v>89</v>
      </c>
      <c r="K23" s="20" t="s">
        <v>473</v>
      </c>
      <c r="L23" s="20" t="s">
        <v>88</v>
      </c>
      <c r="M23" s="20"/>
      <c r="N23" s="29" t="s">
        <v>473</v>
      </c>
      <c r="O23" s="29" t="s">
        <v>476</v>
      </c>
    </row>
    <row r="24" spans="1:15" ht="27.95" customHeight="1">
      <c r="A24" s="18" t="s">
        <v>510</v>
      </c>
      <c r="B24" s="18" t="s">
        <v>511</v>
      </c>
      <c r="C24" s="21"/>
      <c r="D24" s="21" t="s">
        <v>473</v>
      </c>
      <c r="E24" s="21" t="s">
        <v>89</v>
      </c>
      <c r="F24" s="21" t="s">
        <v>88</v>
      </c>
      <c r="G24" s="21"/>
      <c r="H24" s="21" t="s">
        <v>476</v>
      </c>
      <c r="I24" s="21" t="s">
        <v>476</v>
      </c>
      <c r="J24" s="21"/>
      <c r="K24" s="21" t="s">
        <v>473</v>
      </c>
      <c r="L24" s="21"/>
      <c r="M24" s="21"/>
      <c r="N24" s="28" t="s">
        <v>476</v>
      </c>
      <c r="O24" s="28" t="s">
        <v>88</v>
      </c>
    </row>
    <row r="25" spans="1:15" ht="27.95" customHeight="1">
      <c r="A25" s="19" t="s">
        <v>512</v>
      </c>
      <c r="B25" s="19" t="s">
        <v>513</v>
      </c>
      <c r="C25" s="20" t="s">
        <v>89</v>
      </c>
      <c r="D25" s="20" t="s">
        <v>88</v>
      </c>
      <c r="E25" s="20" t="s">
        <v>473</v>
      </c>
      <c r="F25" s="20" t="s">
        <v>473</v>
      </c>
      <c r="G25" s="20" t="s">
        <v>476</v>
      </c>
      <c r="H25" s="20" t="s">
        <v>473</v>
      </c>
      <c r="I25" s="20" t="s">
        <v>473</v>
      </c>
      <c r="J25" s="20" t="s">
        <v>88</v>
      </c>
      <c r="K25" s="20"/>
      <c r="L25" s="20"/>
      <c r="M25" s="20"/>
      <c r="N25" s="29" t="s">
        <v>473</v>
      </c>
      <c r="O25" s="29" t="s">
        <v>473</v>
      </c>
    </row>
    <row r="26" spans="1:15" ht="27.95" customHeight="1">
      <c r="A26" s="18" t="s">
        <v>514</v>
      </c>
      <c r="B26" s="18" t="s">
        <v>515</v>
      </c>
      <c r="C26" s="21" t="s">
        <v>476</v>
      </c>
      <c r="D26" s="21" t="s">
        <v>473</v>
      </c>
      <c r="E26" s="21" t="s">
        <v>473</v>
      </c>
      <c r="F26" s="21" t="s">
        <v>473</v>
      </c>
      <c r="G26" s="21"/>
      <c r="H26" s="21" t="s">
        <v>473</v>
      </c>
      <c r="I26" s="21" t="s">
        <v>473</v>
      </c>
      <c r="J26" s="21" t="s">
        <v>89</v>
      </c>
      <c r="K26" s="21" t="s">
        <v>88</v>
      </c>
      <c r="L26" s="21" t="s">
        <v>88</v>
      </c>
      <c r="M26" s="21"/>
      <c r="N26" s="28" t="s">
        <v>476</v>
      </c>
      <c r="O26" s="28" t="s">
        <v>88</v>
      </c>
    </row>
    <row r="27" spans="1:15" ht="33.950000000000003" customHeight="1">
      <c r="A27" s="30" t="s">
        <v>1214</v>
      </c>
      <c r="B27" s="30" t="s">
        <v>1215</v>
      </c>
      <c r="C27" s="30" t="s">
        <v>89</v>
      </c>
      <c r="D27" s="30" t="s">
        <v>88</v>
      </c>
      <c r="E27" s="30" t="s">
        <v>476</v>
      </c>
      <c r="F27" s="30" t="s">
        <v>476</v>
      </c>
      <c r="G27" s="30" t="s">
        <v>476</v>
      </c>
      <c r="H27" s="30" t="s">
        <v>473</v>
      </c>
      <c r="I27" s="30" t="s">
        <v>88</v>
      </c>
      <c r="J27" s="30" t="s">
        <v>473</v>
      </c>
      <c r="K27" s="30" t="s">
        <v>476</v>
      </c>
      <c r="L27" s="30" t="s">
        <v>476</v>
      </c>
      <c r="M27" s="30" t="s">
        <v>476</v>
      </c>
      <c r="N27" s="31" t="s">
        <v>88</v>
      </c>
      <c r="O27" s="31" t="s">
        <v>476</v>
      </c>
    </row>
    <row r="28" spans="1:15" ht="33.950000000000003" customHeight="1">
      <c r="A28" s="32" t="s">
        <v>1216</v>
      </c>
      <c r="B28" s="32" t="s">
        <v>1217</v>
      </c>
      <c r="C28" s="32" t="s">
        <v>476</v>
      </c>
      <c r="D28" s="32" t="s">
        <v>473</v>
      </c>
      <c r="E28" s="32" t="s">
        <v>473</v>
      </c>
      <c r="F28" s="32" t="s">
        <v>473</v>
      </c>
      <c r="G28" s="32" t="s">
        <v>476</v>
      </c>
      <c r="H28" s="32" t="s">
        <v>473</v>
      </c>
      <c r="I28" s="32" t="s">
        <v>476</v>
      </c>
      <c r="J28" s="32" t="s">
        <v>89</v>
      </c>
      <c r="K28" s="32" t="s">
        <v>88</v>
      </c>
      <c r="L28" s="32" t="s">
        <v>476</v>
      </c>
      <c r="M28" s="32" t="s">
        <v>476</v>
      </c>
      <c r="N28" s="33" t="s">
        <v>476</v>
      </c>
      <c r="O28" s="33" t="s">
        <v>88</v>
      </c>
    </row>
    <row r="29" spans="1:15" ht="33.950000000000003" customHeight="1">
      <c r="A29" s="30" t="s">
        <v>1218</v>
      </c>
      <c r="B29" s="30" t="s">
        <v>1219</v>
      </c>
      <c r="C29" s="30" t="s">
        <v>476</v>
      </c>
      <c r="D29" s="30" t="s">
        <v>473</v>
      </c>
      <c r="E29" s="30" t="s">
        <v>476</v>
      </c>
      <c r="F29" s="30" t="s">
        <v>476</v>
      </c>
      <c r="G29" s="30" t="s">
        <v>476</v>
      </c>
      <c r="H29" s="30" t="s">
        <v>473</v>
      </c>
      <c r="I29" s="30" t="s">
        <v>473</v>
      </c>
      <c r="J29" s="30" t="s">
        <v>89</v>
      </c>
      <c r="K29" s="30" t="s">
        <v>476</v>
      </c>
      <c r="L29" s="30" t="s">
        <v>88</v>
      </c>
      <c r="M29" s="30" t="s">
        <v>473</v>
      </c>
      <c r="N29" s="31" t="s">
        <v>473</v>
      </c>
      <c r="O29" s="31" t="s">
        <v>476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showGridLines="0" zoomScale="130" zoomScaleNormal="130" workbookViewId="0">
      <pane xSplit="2" ySplit="5" topLeftCell="C12" activePane="bottomRight" state="frozen"/>
      <selection pane="topRight"/>
      <selection pane="bottomLeft"/>
      <selection pane="bottomRight" activeCell="E6" sqref="E6"/>
    </sheetView>
  </sheetViews>
  <sheetFormatPr baseColWidth="10" defaultColWidth="9" defaultRowHeight="14.25"/>
  <cols>
    <col min="1" max="1" width="14" customWidth="1"/>
    <col min="2" max="2" width="14.5" bestFit="1" customWidth="1"/>
    <col min="3" max="3" width="36.25" customWidth="1"/>
    <col min="4" max="4" width="24.5" customWidth="1"/>
    <col min="5" max="5" width="48.625" customWidth="1"/>
    <col min="6" max="7" width="22" customWidth="1"/>
    <col min="8" max="8" width="27" customWidth="1"/>
    <col min="9" max="9" width="17" customWidth="1"/>
    <col min="10" max="10" width="55" customWidth="1"/>
    <col min="11" max="11" width="3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516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517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518</v>
      </c>
      <c r="B5" s="4" t="s">
        <v>85</v>
      </c>
      <c r="C5" s="4" t="s">
        <v>519</v>
      </c>
      <c r="D5" s="4" t="s">
        <v>520</v>
      </c>
      <c r="E5" s="4" t="s">
        <v>521</v>
      </c>
      <c r="F5" s="4" t="s">
        <v>522</v>
      </c>
      <c r="G5" s="4" t="s">
        <v>523</v>
      </c>
      <c r="H5" s="4" t="s">
        <v>524</v>
      </c>
      <c r="I5" s="4" t="s">
        <v>525</v>
      </c>
      <c r="J5" s="4" t="s">
        <v>526</v>
      </c>
      <c r="K5" s="4" t="s">
        <v>96</v>
      </c>
    </row>
    <row r="6" spans="1:11" ht="27.95" customHeight="1">
      <c r="A6" s="13" t="s">
        <v>527</v>
      </c>
      <c r="B6" s="13" t="s">
        <v>52</v>
      </c>
      <c r="C6" s="13" t="s">
        <v>528</v>
      </c>
      <c r="D6" s="13" t="s">
        <v>529</v>
      </c>
      <c r="E6" s="13" t="s">
        <v>530</v>
      </c>
      <c r="F6" s="13" t="s">
        <v>531</v>
      </c>
      <c r="G6" s="7"/>
      <c r="H6" s="7"/>
      <c r="I6" s="8"/>
      <c r="J6" s="7"/>
      <c r="K6" s="7"/>
    </row>
    <row r="7" spans="1:11" ht="27.95" customHeight="1">
      <c r="A7" s="16" t="s">
        <v>532</v>
      </c>
      <c r="B7" s="16" t="s">
        <v>56</v>
      </c>
      <c r="C7" s="16" t="s">
        <v>533</v>
      </c>
      <c r="D7" s="16" t="s">
        <v>529</v>
      </c>
      <c r="E7" s="16" t="s">
        <v>534</v>
      </c>
      <c r="F7" s="16" t="s">
        <v>531</v>
      </c>
      <c r="G7" s="7"/>
      <c r="H7" s="7"/>
      <c r="I7" s="8"/>
      <c r="J7" s="7"/>
      <c r="K7" s="7"/>
    </row>
    <row r="8" spans="1:11" ht="35.1" customHeight="1">
      <c r="A8" s="13" t="s">
        <v>535</v>
      </c>
      <c r="B8" s="13" t="s">
        <v>60</v>
      </c>
      <c r="C8" s="13" t="s">
        <v>536</v>
      </c>
      <c r="D8" s="13" t="s">
        <v>537</v>
      </c>
      <c r="E8" s="13" t="s">
        <v>538</v>
      </c>
      <c r="F8" s="13" t="s">
        <v>539</v>
      </c>
      <c r="G8" s="7"/>
      <c r="H8" s="7"/>
      <c r="I8" s="8"/>
      <c r="J8" s="7"/>
      <c r="K8" s="7"/>
    </row>
    <row r="9" spans="1:11" ht="42.75">
      <c r="A9" s="16" t="s">
        <v>540</v>
      </c>
      <c r="B9" s="16" t="s">
        <v>70</v>
      </c>
      <c r="C9" s="16" t="s">
        <v>541</v>
      </c>
      <c r="D9" s="16" t="s">
        <v>542</v>
      </c>
      <c r="E9" s="16" t="s">
        <v>543</v>
      </c>
      <c r="F9" s="16" t="s">
        <v>544</v>
      </c>
      <c r="G9" s="7"/>
      <c r="H9" s="7"/>
      <c r="I9" s="8"/>
      <c r="J9" s="7"/>
      <c r="K9" s="7"/>
    </row>
    <row r="10" spans="1:11" ht="35.1" customHeight="1">
      <c r="A10" s="13" t="s">
        <v>545</v>
      </c>
      <c r="B10" s="13" t="s">
        <v>70</v>
      </c>
      <c r="C10" s="13" t="s">
        <v>546</v>
      </c>
      <c r="D10" s="13" t="s">
        <v>547</v>
      </c>
      <c r="E10" s="13" t="s">
        <v>548</v>
      </c>
      <c r="F10" s="13" t="s">
        <v>549</v>
      </c>
      <c r="G10" s="7"/>
      <c r="H10" s="7"/>
      <c r="I10" s="8"/>
      <c r="J10" s="7"/>
      <c r="K10" s="7"/>
    </row>
    <row r="11" spans="1:11" ht="35.1" customHeight="1">
      <c r="A11" s="16" t="s">
        <v>550</v>
      </c>
      <c r="B11" s="16" t="s">
        <v>70</v>
      </c>
      <c r="C11" s="16" t="s">
        <v>1260</v>
      </c>
      <c r="D11" s="16" t="s">
        <v>551</v>
      </c>
      <c r="E11" s="16" t="s">
        <v>552</v>
      </c>
      <c r="F11" s="16" t="s">
        <v>553</v>
      </c>
      <c r="G11" s="7"/>
      <c r="H11" s="7"/>
      <c r="I11" s="8"/>
      <c r="J11" s="7"/>
      <c r="K11" s="7"/>
    </row>
    <row r="12" spans="1:11" ht="35.1" customHeight="1">
      <c r="A12" s="13" t="s">
        <v>554</v>
      </c>
      <c r="B12" s="13" t="s">
        <v>100</v>
      </c>
      <c r="C12" s="13" t="s">
        <v>555</v>
      </c>
      <c r="D12" s="13" t="s">
        <v>556</v>
      </c>
      <c r="E12" s="13" t="s">
        <v>557</v>
      </c>
      <c r="F12" s="13" t="s">
        <v>558</v>
      </c>
      <c r="G12" s="7"/>
      <c r="H12" s="7"/>
      <c r="I12" s="8"/>
      <c r="J12" s="7"/>
      <c r="K12" s="7"/>
    </row>
    <row r="13" spans="1:11" ht="27.95" customHeight="1">
      <c r="A13" s="16" t="s">
        <v>559</v>
      </c>
      <c r="B13" s="16" t="s">
        <v>62</v>
      </c>
      <c r="C13" s="16" t="s">
        <v>1261</v>
      </c>
      <c r="D13" s="16" t="s">
        <v>551</v>
      </c>
      <c r="E13" s="16" t="s">
        <v>560</v>
      </c>
      <c r="F13" s="16" t="s">
        <v>561</v>
      </c>
      <c r="G13" s="7"/>
      <c r="H13" s="7"/>
      <c r="I13" s="8"/>
      <c r="J13" s="7"/>
      <c r="K13" s="7"/>
    </row>
    <row r="14" spans="1:11" ht="27.95" customHeight="1">
      <c r="A14" s="13" t="s">
        <v>562</v>
      </c>
      <c r="B14" s="13" t="s">
        <v>42</v>
      </c>
      <c r="C14" s="13" t="s">
        <v>563</v>
      </c>
      <c r="D14" s="13" t="s">
        <v>529</v>
      </c>
      <c r="E14" s="13" t="s">
        <v>564</v>
      </c>
      <c r="F14" s="13" t="s">
        <v>531</v>
      </c>
      <c r="G14" s="7"/>
      <c r="H14" s="7"/>
      <c r="I14" s="8"/>
      <c r="J14" s="7"/>
      <c r="K14" s="7"/>
    </row>
    <row r="15" spans="1:11" ht="35.1" customHeight="1">
      <c r="A15" s="16" t="s">
        <v>565</v>
      </c>
      <c r="B15" s="16" t="s">
        <v>56</v>
      </c>
      <c r="C15" s="16" t="s">
        <v>566</v>
      </c>
      <c r="D15" s="16" t="s">
        <v>567</v>
      </c>
      <c r="E15" s="16" t="s">
        <v>568</v>
      </c>
      <c r="F15" s="16" t="s">
        <v>569</v>
      </c>
      <c r="G15" s="7"/>
      <c r="H15" s="7"/>
      <c r="I15" s="8"/>
      <c r="J15" s="7"/>
      <c r="K15" s="7"/>
    </row>
    <row r="16" spans="1:11" ht="35.1" customHeight="1">
      <c r="A16" s="13" t="s">
        <v>570</v>
      </c>
      <c r="B16" s="13" t="s">
        <v>62</v>
      </c>
      <c r="C16" s="13" t="s">
        <v>571</v>
      </c>
      <c r="D16" s="13" t="s">
        <v>572</v>
      </c>
      <c r="E16" s="13" t="s">
        <v>573</v>
      </c>
      <c r="F16" s="13" t="s">
        <v>574</v>
      </c>
      <c r="G16" s="7"/>
      <c r="H16" s="7"/>
      <c r="I16" s="8"/>
      <c r="J16" s="7"/>
      <c r="K16" s="7"/>
    </row>
    <row r="17" spans="1:11" ht="35.1" customHeight="1">
      <c r="A17" s="16" t="s">
        <v>575</v>
      </c>
      <c r="B17" s="16" t="s">
        <v>66</v>
      </c>
      <c r="C17" s="16" t="s">
        <v>576</v>
      </c>
      <c r="D17" s="16" t="s">
        <v>572</v>
      </c>
      <c r="E17" s="16" t="s">
        <v>577</v>
      </c>
      <c r="F17" s="16" t="s">
        <v>578</v>
      </c>
      <c r="G17" s="7"/>
      <c r="H17" s="7"/>
      <c r="I17" s="8"/>
      <c r="J17" s="7"/>
      <c r="K17" s="7"/>
    </row>
    <row r="18" spans="1:11" ht="35.1" customHeight="1">
      <c r="A18" s="13" t="s">
        <v>579</v>
      </c>
      <c r="B18" s="13" t="s">
        <v>48</v>
      </c>
      <c r="C18" s="13" t="s">
        <v>580</v>
      </c>
      <c r="D18" s="13" t="s">
        <v>551</v>
      </c>
      <c r="E18" s="13" t="s">
        <v>581</v>
      </c>
      <c r="F18" s="13" t="s">
        <v>582</v>
      </c>
      <c r="G18" s="7"/>
      <c r="H18" s="7"/>
      <c r="I18" s="8"/>
      <c r="J18" s="7"/>
      <c r="K18" s="7"/>
    </row>
  </sheetData>
  <dataValidations count="1">
    <dataValidation type="list" sqref="G6:G18" xr:uid="{00000000-0002-0000-0400-000000000000}">
      <formula1>"B1,B2,B3,Excluido,Pendiente"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"/>
  <sheetViews>
    <sheetView showGridLines="0" zoomScale="115" zoomScaleNormal="115" workbookViewId="0">
      <pane xSplit="2" ySplit="5" topLeftCell="C6" activePane="bottomRight" state="frozen"/>
      <selection pane="topRight"/>
      <selection pane="bottomLeft"/>
      <selection pane="bottomRight" activeCell="C10" sqref="C10"/>
    </sheetView>
  </sheetViews>
  <sheetFormatPr baseColWidth="10" defaultColWidth="9" defaultRowHeight="14.25"/>
  <cols>
    <col min="1" max="1" width="14.875" customWidth="1"/>
    <col min="2" max="2" width="7.375" customWidth="1"/>
    <col min="3" max="3" width="12.375" customWidth="1"/>
    <col min="4" max="4" width="25.625" bestFit="1" customWidth="1"/>
    <col min="5" max="5" width="8.5" bestFit="1" customWidth="1"/>
    <col min="6" max="6" width="42.875" customWidth="1"/>
    <col min="7" max="7" width="40.375" customWidth="1"/>
    <col min="8" max="8" width="59.875" customWidth="1"/>
    <col min="9" max="9" width="8.375" bestFit="1" customWidth="1"/>
    <col min="10" max="10" width="7.875" bestFit="1" customWidth="1"/>
    <col min="11" max="12" width="18" customWidth="1"/>
    <col min="13" max="13" width="34" customWidth="1"/>
    <col min="14" max="14" width="26" customWidth="1"/>
    <col min="15" max="15" width="18" customWidth="1"/>
    <col min="16" max="16" width="65" customWidth="1"/>
    <col min="17" max="17" width="38" customWidth="1"/>
    <col min="18" max="18" width="24" customWidth="1"/>
    <col min="19" max="19" width="20" customWidth="1"/>
    <col min="20" max="20" width="27" customWidth="1"/>
    <col min="21" max="21" width="21" customWidth="1"/>
    <col min="22" max="22" width="35" customWidth="1"/>
    <col min="23" max="23" width="20" customWidth="1"/>
    <col min="24" max="24" width="29" customWidth="1"/>
    <col min="25" max="25" width="23" customWidth="1"/>
  </cols>
  <sheetData>
    <row r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.95" customHeight="1">
      <c r="A2" s="2" t="s">
        <v>583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0.100000000000001" customHeight="1">
      <c r="A3" s="3" t="s">
        <v>584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9.950000000000003" customHeight="1">
      <c r="A5" s="4" t="s">
        <v>585</v>
      </c>
      <c r="B5" s="4" t="s">
        <v>85</v>
      </c>
      <c r="C5" s="40" t="s">
        <v>1273</v>
      </c>
      <c r="D5" s="4" t="s">
        <v>586</v>
      </c>
      <c r="E5" s="4" t="s">
        <v>587</v>
      </c>
      <c r="F5" s="4" t="s">
        <v>588</v>
      </c>
      <c r="G5" s="4" t="s">
        <v>589</v>
      </c>
      <c r="H5" s="4" t="s">
        <v>590</v>
      </c>
      <c r="I5" s="4" t="s">
        <v>591</v>
      </c>
      <c r="J5" s="4" t="s">
        <v>592</v>
      </c>
      <c r="K5" s="4" t="s">
        <v>593</v>
      </c>
      <c r="L5" s="4" t="s">
        <v>594</v>
      </c>
      <c r="M5" s="4" t="s">
        <v>595</v>
      </c>
      <c r="N5" s="4" t="s">
        <v>596</v>
      </c>
      <c r="O5" s="4" t="s">
        <v>597</v>
      </c>
      <c r="P5" s="4" t="s">
        <v>598</v>
      </c>
      <c r="Q5" s="4" t="s">
        <v>96</v>
      </c>
      <c r="R5" s="4" t="s">
        <v>599</v>
      </c>
      <c r="S5" s="4" t="s">
        <v>600</v>
      </c>
      <c r="T5" s="4" t="s">
        <v>97</v>
      </c>
      <c r="U5" s="4" t="s">
        <v>601</v>
      </c>
      <c r="V5" s="4" t="s">
        <v>602</v>
      </c>
      <c r="W5" s="4" t="s">
        <v>38</v>
      </c>
      <c r="X5" s="4" t="s">
        <v>603</v>
      </c>
      <c r="Y5" s="4" t="s">
        <v>604</v>
      </c>
    </row>
    <row r="6" spans="1:25" ht="35.1" customHeight="1">
      <c r="A6" s="13" t="s">
        <v>605</v>
      </c>
      <c r="B6" s="13" t="s">
        <v>42</v>
      </c>
      <c r="C6" s="45" t="str">
        <f>VLOOKUP(T_UAT[[#This Row],[Módulo]],T_Asignaciones[[ID]:[Capacidad B1]],2,FALSE)</f>
        <v>Catálogo y maestros</v>
      </c>
      <c r="D6" s="5" t="s">
        <v>606</v>
      </c>
      <c r="E6" s="5" t="s">
        <v>607</v>
      </c>
      <c r="F6" s="5" t="s">
        <v>608</v>
      </c>
      <c r="G6" s="5" t="s">
        <v>609</v>
      </c>
      <c r="H6" s="5" t="s">
        <v>610</v>
      </c>
      <c r="I6" s="5" t="s">
        <v>137</v>
      </c>
      <c r="J6" s="5" t="s">
        <v>138</v>
      </c>
      <c r="K6" s="7"/>
      <c r="L6" s="7"/>
      <c r="M6" s="7"/>
      <c r="N6" s="7"/>
      <c r="O6" s="8"/>
      <c r="P6" s="7"/>
      <c r="Q6" s="7"/>
      <c r="R6" s="7"/>
      <c r="S6" s="7"/>
      <c r="T6" s="7"/>
      <c r="U6" s="7" t="s">
        <v>611</v>
      </c>
      <c r="V6" s="5" t="str">
        <f t="shared" ref="V6:V38" si="0">IF(U6&lt;&gt;"Ejecutado","Sin ejecutar",IF(AND(K6&lt;&gt;"",L6&lt;&gt;"",M6&lt;&gt;"",N6&lt;&gt;"",ISNUMBER(O6),P6&lt;&gt;"",Q6&lt;&gt;"",S6&lt;&gt;"",T6&lt;&gt;"",ISNUMBER(W6),X6&lt;&gt;"",ISNUMBER(Y6)),IF(S6="Aprobado","Ejecución aceptada","Requiere acción"),"Falta evidencia o aceptación"))</f>
        <v>Sin ejecutar</v>
      </c>
      <c r="W6" s="8"/>
      <c r="X6" s="7"/>
      <c r="Y6" s="8"/>
    </row>
    <row r="7" spans="1:25" ht="35.1" customHeight="1">
      <c r="A7" s="16" t="s">
        <v>612</v>
      </c>
      <c r="B7" s="16" t="s">
        <v>42</v>
      </c>
      <c r="C7" s="46" t="str">
        <f>VLOOKUP(T_UAT[[#This Row],[Módulo]],T_Asignaciones[[ID]:[Capacidad B1]],2,FALSE)</f>
        <v>Catálogo y maestros</v>
      </c>
      <c r="D7" s="6" t="s">
        <v>613</v>
      </c>
      <c r="E7" s="6" t="s">
        <v>607</v>
      </c>
      <c r="F7" s="6" t="s">
        <v>614</v>
      </c>
      <c r="G7" s="6" t="s">
        <v>615</v>
      </c>
      <c r="H7" s="6" t="s">
        <v>616</v>
      </c>
      <c r="I7" s="6" t="s">
        <v>137</v>
      </c>
      <c r="J7" s="6" t="s">
        <v>138</v>
      </c>
      <c r="K7" s="7"/>
      <c r="L7" s="7"/>
      <c r="M7" s="7"/>
      <c r="N7" s="7"/>
      <c r="O7" s="8"/>
      <c r="P7" s="7"/>
      <c r="Q7" s="7"/>
      <c r="R7" s="7"/>
      <c r="S7" s="7"/>
      <c r="T7" s="7"/>
      <c r="U7" s="7" t="s">
        <v>611</v>
      </c>
      <c r="V7" s="6" t="str">
        <f t="shared" si="0"/>
        <v>Sin ejecutar</v>
      </c>
      <c r="W7" s="8"/>
      <c r="X7" s="7"/>
      <c r="Y7" s="8"/>
    </row>
    <row r="8" spans="1:25" ht="35.1" customHeight="1">
      <c r="A8" s="13" t="s">
        <v>617</v>
      </c>
      <c r="B8" s="13" t="s">
        <v>48</v>
      </c>
      <c r="C8" s="45" t="str">
        <f>VLOOKUP(T_UAT[[#This Row],[Módulo]],T_Asignaciones[[ID]:[Capacidad B1]],2,FALSE)</f>
        <v>Surtido, clusters y segmentos</v>
      </c>
      <c r="D8" s="5" t="s">
        <v>618</v>
      </c>
      <c r="E8" s="5" t="s">
        <v>607</v>
      </c>
      <c r="F8" s="5" t="s">
        <v>619</v>
      </c>
      <c r="G8" s="5" t="s">
        <v>620</v>
      </c>
      <c r="H8" s="5" t="s">
        <v>621</v>
      </c>
      <c r="I8" s="5" t="s">
        <v>137</v>
      </c>
      <c r="J8" s="5" t="s">
        <v>138</v>
      </c>
      <c r="K8" s="7"/>
      <c r="L8" s="7"/>
      <c r="M8" s="7"/>
      <c r="N8" s="7"/>
      <c r="O8" s="8"/>
      <c r="P8" s="7"/>
      <c r="Q8" s="7"/>
      <c r="R8" s="7"/>
      <c r="S8" s="7"/>
      <c r="T8" s="7"/>
      <c r="U8" s="7" t="s">
        <v>611</v>
      </c>
      <c r="V8" s="5" t="str">
        <f t="shared" si="0"/>
        <v>Sin ejecutar</v>
      </c>
      <c r="W8" s="8"/>
      <c r="X8" s="7"/>
      <c r="Y8" s="8"/>
    </row>
    <row r="9" spans="1:25" ht="35.1" customHeight="1">
      <c r="A9" s="16" t="s">
        <v>622</v>
      </c>
      <c r="B9" s="16" t="s">
        <v>48</v>
      </c>
      <c r="C9" s="46" t="str">
        <f>VLOOKUP(T_UAT[[#This Row],[Módulo]],T_Asignaciones[[ID]:[Capacidad B1]],2,FALSE)</f>
        <v>Surtido, clusters y segmentos</v>
      </c>
      <c r="D9" s="6" t="s">
        <v>623</v>
      </c>
      <c r="E9" s="6" t="s">
        <v>607</v>
      </c>
      <c r="F9" s="6" t="s">
        <v>624</v>
      </c>
      <c r="G9" s="6" t="s">
        <v>625</v>
      </c>
      <c r="H9" s="6" t="s">
        <v>626</v>
      </c>
      <c r="I9" s="6" t="s">
        <v>137</v>
      </c>
      <c r="J9" s="6" t="s">
        <v>138</v>
      </c>
      <c r="K9" s="7"/>
      <c r="L9" s="7"/>
      <c r="M9" s="7"/>
      <c r="N9" s="7"/>
      <c r="O9" s="8"/>
      <c r="P9" s="7"/>
      <c r="Q9" s="7"/>
      <c r="R9" s="7"/>
      <c r="S9" s="7"/>
      <c r="T9" s="7"/>
      <c r="U9" s="7" t="s">
        <v>611</v>
      </c>
      <c r="V9" s="6" t="str">
        <f t="shared" si="0"/>
        <v>Sin ejecutar</v>
      </c>
      <c r="W9" s="8"/>
      <c r="X9" s="7"/>
      <c r="Y9" s="8"/>
    </row>
    <row r="10" spans="1:25" ht="35.1" customHeight="1">
      <c r="A10" s="13" t="s">
        <v>627</v>
      </c>
      <c r="B10" s="13" t="s">
        <v>52</v>
      </c>
      <c r="C10" s="45" t="str">
        <f>VLOOKUP(T_UAT[[#This Row],[Módulo]],T_Asignaciones[[ID]:[Capacidad B1]],2,FALSE)</f>
        <v>Listas y acuerdos comerciales de compra</v>
      </c>
      <c r="D10" s="5" t="s">
        <v>628</v>
      </c>
      <c r="E10" s="5" t="s">
        <v>607</v>
      </c>
      <c r="F10" s="5" t="s">
        <v>629</v>
      </c>
      <c r="G10" s="5" t="s">
        <v>630</v>
      </c>
      <c r="H10" s="5" t="s">
        <v>631</v>
      </c>
      <c r="I10" s="5" t="s">
        <v>137</v>
      </c>
      <c r="J10" s="5" t="s">
        <v>138</v>
      </c>
      <c r="K10" s="7"/>
      <c r="L10" s="7"/>
      <c r="M10" s="7"/>
      <c r="N10" s="7"/>
      <c r="O10" s="8"/>
      <c r="P10" s="7"/>
      <c r="Q10" s="7"/>
      <c r="R10" s="7"/>
      <c r="S10" s="7"/>
      <c r="T10" s="7"/>
      <c r="U10" s="7" t="s">
        <v>611</v>
      </c>
      <c r="V10" s="5" t="str">
        <f t="shared" si="0"/>
        <v>Sin ejecutar</v>
      </c>
      <c r="W10" s="8"/>
      <c r="X10" s="7"/>
      <c r="Y10" s="8"/>
    </row>
    <row r="11" spans="1:25" ht="35.1" customHeight="1">
      <c r="A11" s="16" t="s">
        <v>632</v>
      </c>
      <c r="B11" s="16" t="s">
        <v>52</v>
      </c>
      <c r="C11" s="46" t="str">
        <f>VLOOKUP(T_UAT[[#This Row],[Módulo]],T_Asignaciones[[ID]:[Capacidad B1]],2,FALSE)</f>
        <v>Listas y acuerdos comerciales de compra</v>
      </c>
      <c r="D11" s="6" t="s">
        <v>633</v>
      </c>
      <c r="E11" s="6" t="s">
        <v>607</v>
      </c>
      <c r="F11" s="6" t="s">
        <v>634</v>
      </c>
      <c r="G11" s="6" t="s">
        <v>635</v>
      </c>
      <c r="H11" s="6" t="s">
        <v>636</v>
      </c>
      <c r="I11" s="6" t="s">
        <v>137</v>
      </c>
      <c r="J11" s="6" t="s">
        <v>138</v>
      </c>
      <c r="K11" s="7"/>
      <c r="L11" s="7"/>
      <c r="M11" s="7"/>
      <c r="N11" s="7"/>
      <c r="O11" s="8"/>
      <c r="P11" s="7"/>
      <c r="Q11" s="7"/>
      <c r="R11" s="7"/>
      <c r="S11" s="7"/>
      <c r="T11" s="7"/>
      <c r="U11" s="7" t="s">
        <v>611</v>
      </c>
      <c r="V11" s="6" t="str">
        <f t="shared" si="0"/>
        <v>Sin ejecutar</v>
      </c>
      <c r="W11" s="8"/>
      <c r="X11" s="7"/>
      <c r="Y11" s="8"/>
    </row>
    <row r="12" spans="1:25" ht="35.1" customHeight="1">
      <c r="A12" s="13" t="s">
        <v>637</v>
      </c>
      <c r="B12" s="13" t="s">
        <v>56</v>
      </c>
      <c r="C12" s="45" t="str">
        <f>VLOOKUP(T_UAT[[#This Row],[Módulo]],T_Asignaciones[[ID]:[Capacidad B1]],2,FALSE)</f>
        <v>Forecast y compra inteligente/directa</v>
      </c>
      <c r="D12" s="5" t="s">
        <v>638</v>
      </c>
      <c r="E12" s="5" t="s">
        <v>607</v>
      </c>
      <c r="F12" s="5" t="s">
        <v>639</v>
      </c>
      <c r="G12" s="5" t="s">
        <v>640</v>
      </c>
      <c r="H12" s="5" t="s">
        <v>641</v>
      </c>
      <c r="I12" s="5" t="s">
        <v>137</v>
      </c>
      <c r="J12" s="5" t="s">
        <v>138</v>
      </c>
      <c r="K12" s="7"/>
      <c r="L12" s="7"/>
      <c r="M12" s="7"/>
      <c r="N12" s="7"/>
      <c r="O12" s="8"/>
      <c r="P12" s="7"/>
      <c r="Q12" s="7"/>
      <c r="R12" s="7"/>
      <c r="S12" s="7"/>
      <c r="T12" s="7"/>
      <c r="U12" s="7" t="s">
        <v>611</v>
      </c>
      <c r="V12" s="5" t="str">
        <f t="shared" si="0"/>
        <v>Sin ejecutar</v>
      </c>
      <c r="W12" s="8"/>
      <c r="X12" s="7"/>
      <c r="Y12" s="8"/>
    </row>
    <row r="13" spans="1:25" ht="35.1" customHeight="1">
      <c r="A13" s="16" t="s">
        <v>642</v>
      </c>
      <c r="B13" s="16" t="s">
        <v>56</v>
      </c>
      <c r="C13" s="46" t="str">
        <f>VLOOKUP(T_UAT[[#This Row],[Módulo]],T_Asignaciones[[ID]:[Capacidad B1]],2,FALSE)</f>
        <v>Forecast y compra inteligente/directa</v>
      </c>
      <c r="D13" s="6" t="s">
        <v>643</v>
      </c>
      <c r="E13" s="6" t="s">
        <v>607</v>
      </c>
      <c r="F13" s="6" t="s">
        <v>644</v>
      </c>
      <c r="G13" s="6" t="s">
        <v>645</v>
      </c>
      <c r="H13" s="6" t="s">
        <v>646</v>
      </c>
      <c r="I13" s="6" t="s">
        <v>137</v>
      </c>
      <c r="J13" s="6" t="s">
        <v>138</v>
      </c>
      <c r="K13" s="7"/>
      <c r="L13" s="7"/>
      <c r="M13" s="7"/>
      <c r="N13" s="7"/>
      <c r="O13" s="8"/>
      <c r="P13" s="7"/>
      <c r="Q13" s="7"/>
      <c r="R13" s="7"/>
      <c r="S13" s="7"/>
      <c r="T13" s="7"/>
      <c r="U13" s="7" t="s">
        <v>611</v>
      </c>
      <c r="V13" s="6" t="str">
        <f t="shared" si="0"/>
        <v>Sin ejecutar</v>
      </c>
      <c r="W13" s="8"/>
      <c r="X13" s="7"/>
      <c r="Y13" s="8"/>
    </row>
    <row r="14" spans="1:25" ht="48.6" customHeight="1">
      <c r="A14" s="13" t="s">
        <v>647</v>
      </c>
      <c r="B14" s="13" t="s">
        <v>60</v>
      </c>
      <c r="C14" s="45" t="str">
        <f>VLOOKUP(T_UAT[[#This Row],[Módulo]],T_Asignaciones[[ID]:[Capacidad B1]],2,FALSE)</f>
        <v>Órdenes de compra e integración SGM</v>
      </c>
      <c r="D14" s="5" t="s">
        <v>648</v>
      </c>
      <c r="E14" s="5" t="s">
        <v>607</v>
      </c>
      <c r="F14" s="5" t="s">
        <v>649</v>
      </c>
      <c r="G14" s="5" t="s">
        <v>650</v>
      </c>
      <c r="H14" s="5" t="s">
        <v>651</v>
      </c>
      <c r="I14" s="5" t="s">
        <v>137</v>
      </c>
      <c r="J14" s="5" t="s">
        <v>138</v>
      </c>
      <c r="K14" s="7"/>
      <c r="L14" s="7"/>
      <c r="M14" s="7"/>
      <c r="N14" s="7"/>
      <c r="O14" s="8"/>
      <c r="P14" s="7"/>
      <c r="Q14" s="7"/>
      <c r="R14" s="7"/>
      <c r="S14" s="7"/>
      <c r="T14" s="7"/>
      <c r="U14" s="7" t="s">
        <v>611</v>
      </c>
      <c r="V14" s="5" t="str">
        <f t="shared" si="0"/>
        <v>Sin ejecutar</v>
      </c>
      <c r="W14" s="8"/>
      <c r="X14" s="7"/>
      <c r="Y14" s="8"/>
    </row>
    <row r="15" spans="1:25" ht="35.1" customHeight="1">
      <c r="A15" s="16" t="s">
        <v>652</v>
      </c>
      <c r="B15" s="16" t="s">
        <v>60</v>
      </c>
      <c r="C15" s="46" t="str">
        <f>VLOOKUP(T_UAT[[#This Row],[Módulo]],T_Asignaciones[[ID]:[Capacidad B1]],2,FALSE)</f>
        <v>Órdenes de compra e integración SGM</v>
      </c>
      <c r="D15" s="6" t="s">
        <v>653</v>
      </c>
      <c r="E15" s="6" t="s">
        <v>607</v>
      </c>
      <c r="F15" s="6" t="s">
        <v>654</v>
      </c>
      <c r="G15" s="6" t="s">
        <v>655</v>
      </c>
      <c r="H15" s="6" t="s">
        <v>656</v>
      </c>
      <c r="I15" s="6" t="s">
        <v>137</v>
      </c>
      <c r="J15" s="6" t="s">
        <v>138</v>
      </c>
      <c r="K15" s="7"/>
      <c r="L15" s="7"/>
      <c r="M15" s="7"/>
      <c r="N15" s="7"/>
      <c r="O15" s="8"/>
      <c r="P15" s="7"/>
      <c r="Q15" s="7"/>
      <c r="R15" s="7"/>
      <c r="S15" s="7"/>
      <c r="T15" s="7"/>
      <c r="U15" s="7" t="s">
        <v>611</v>
      </c>
      <c r="V15" s="6" t="str">
        <f t="shared" si="0"/>
        <v>Sin ejecutar</v>
      </c>
      <c r="W15" s="8"/>
      <c r="X15" s="7"/>
      <c r="Y15" s="8"/>
    </row>
    <row r="16" spans="1:25" ht="35.1" customHeight="1">
      <c r="A16" s="13" t="s">
        <v>657</v>
      </c>
      <c r="B16" s="13" t="s">
        <v>62</v>
      </c>
      <c r="C16" s="45" t="str">
        <f>VLOOKUP(T_UAT[[#This Row],[Módulo]],T_Asignaciones[[ID]:[Capacidad B1]],2,FALSE)</f>
        <v>Recepción en sucursal y convivencia SGM</v>
      </c>
      <c r="D16" s="5" t="s">
        <v>658</v>
      </c>
      <c r="E16" s="5" t="s">
        <v>607</v>
      </c>
      <c r="F16" s="5" t="s">
        <v>659</v>
      </c>
      <c r="G16" s="5" t="s">
        <v>660</v>
      </c>
      <c r="H16" s="5" t="s">
        <v>661</v>
      </c>
      <c r="I16" s="5" t="s">
        <v>137</v>
      </c>
      <c r="J16" s="5" t="s">
        <v>138</v>
      </c>
      <c r="K16" s="7"/>
      <c r="L16" s="7"/>
      <c r="M16" s="7"/>
      <c r="N16" s="7"/>
      <c r="O16" s="8"/>
      <c r="P16" s="7"/>
      <c r="Q16" s="7"/>
      <c r="R16" s="7"/>
      <c r="S16" s="7"/>
      <c r="T16" s="7"/>
      <c r="U16" s="7" t="s">
        <v>611</v>
      </c>
      <c r="V16" s="5" t="str">
        <f t="shared" si="0"/>
        <v>Sin ejecutar</v>
      </c>
      <c r="W16" s="8"/>
      <c r="X16" s="7"/>
      <c r="Y16" s="8"/>
    </row>
    <row r="17" spans="1:25" ht="35.1" customHeight="1">
      <c r="A17" s="16" t="s">
        <v>662</v>
      </c>
      <c r="B17" s="16" t="s">
        <v>62</v>
      </c>
      <c r="C17" s="46" t="str">
        <f>VLOOKUP(T_UAT[[#This Row],[Módulo]],T_Asignaciones[[ID]:[Capacidad B1]],2,FALSE)</f>
        <v>Recepción en sucursal y convivencia SGM</v>
      </c>
      <c r="D17" s="6" t="s">
        <v>663</v>
      </c>
      <c r="E17" s="6" t="s">
        <v>607</v>
      </c>
      <c r="F17" s="6" t="s">
        <v>664</v>
      </c>
      <c r="G17" s="6" t="s">
        <v>665</v>
      </c>
      <c r="H17" s="6" t="s">
        <v>666</v>
      </c>
      <c r="I17" s="6" t="s">
        <v>137</v>
      </c>
      <c r="J17" s="6" t="s">
        <v>138</v>
      </c>
      <c r="K17" s="7"/>
      <c r="L17" s="7"/>
      <c r="M17" s="7"/>
      <c r="N17" s="7"/>
      <c r="O17" s="8"/>
      <c r="P17" s="7"/>
      <c r="Q17" s="7"/>
      <c r="R17" s="7"/>
      <c r="S17" s="7"/>
      <c r="T17" s="7"/>
      <c r="U17" s="7" t="s">
        <v>611</v>
      </c>
      <c r="V17" s="6" t="str">
        <f t="shared" si="0"/>
        <v>Sin ejecutar</v>
      </c>
      <c r="W17" s="8"/>
      <c r="X17" s="7"/>
      <c r="Y17" s="8"/>
    </row>
    <row r="18" spans="1:25" ht="35.1" customHeight="1">
      <c r="A18" s="13" t="s">
        <v>667</v>
      </c>
      <c r="B18" s="13" t="s">
        <v>66</v>
      </c>
      <c r="C18" s="45" t="str">
        <f>VLOOKUP(T_UAT[[#This Row],[Módulo]],T_Asignaciones[[ID]:[Capacidad B1]],2,FALSE)</f>
        <v>Inventarios y ajustes</v>
      </c>
      <c r="D18" s="5" t="s">
        <v>668</v>
      </c>
      <c r="E18" s="5" t="s">
        <v>607</v>
      </c>
      <c r="F18" s="5" t="s">
        <v>669</v>
      </c>
      <c r="G18" s="5" t="s">
        <v>670</v>
      </c>
      <c r="H18" s="5" t="s">
        <v>671</v>
      </c>
      <c r="I18" s="5" t="s">
        <v>137</v>
      </c>
      <c r="J18" s="5" t="s">
        <v>138</v>
      </c>
      <c r="K18" s="7"/>
      <c r="L18" s="7"/>
      <c r="M18" s="7"/>
      <c r="N18" s="7"/>
      <c r="O18" s="8"/>
      <c r="P18" s="7"/>
      <c r="Q18" s="7"/>
      <c r="R18" s="7"/>
      <c r="S18" s="7"/>
      <c r="T18" s="7"/>
      <c r="U18" s="7" t="s">
        <v>611</v>
      </c>
      <c r="V18" s="5" t="str">
        <f t="shared" si="0"/>
        <v>Sin ejecutar</v>
      </c>
      <c r="W18" s="8"/>
      <c r="X18" s="7"/>
      <c r="Y18" s="8"/>
    </row>
    <row r="19" spans="1:25" ht="27.95" customHeight="1">
      <c r="A19" s="16" t="s">
        <v>672</v>
      </c>
      <c r="B19" s="16" t="s">
        <v>66</v>
      </c>
      <c r="C19" s="46" t="str">
        <f>VLOOKUP(T_UAT[[#This Row],[Módulo]],T_Asignaciones[[ID]:[Capacidad B1]],2,FALSE)</f>
        <v>Inventarios y ajustes</v>
      </c>
      <c r="D19" s="6" t="s">
        <v>673</v>
      </c>
      <c r="E19" s="6" t="s">
        <v>607</v>
      </c>
      <c r="F19" s="6" t="s">
        <v>674</v>
      </c>
      <c r="G19" s="6" t="s">
        <v>675</v>
      </c>
      <c r="H19" s="6" t="s">
        <v>676</v>
      </c>
      <c r="I19" s="6" t="s">
        <v>137</v>
      </c>
      <c r="J19" s="6" t="s">
        <v>138</v>
      </c>
      <c r="K19" s="7"/>
      <c r="L19" s="7"/>
      <c r="M19" s="7"/>
      <c r="N19" s="7"/>
      <c r="O19" s="8"/>
      <c r="P19" s="7"/>
      <c r="Q19" s="7"/>
      <c r="R19" s="7"/>
      <c r="S19" s="7"/>
      <c r="T19" s="7"/>
      <c r="U19" s="7" t="s">
        <v>611</v>
      </c>
      <c r="V19" s="6" t="str">
        <f t="shared" si="0"/>
        <v>Sin ejecutar</v>
      </c>
      <c r="W19" s="8"/>
      <c r="X19" s="7"/>
      <c r="Y19" s="8"/>
    </row>
    <row r="20" spans="1:25" ht="35.1" customHeight="1">
      <c r="A20" s="13" t="s">
        <v>677</v>
      </c>
      <c r="B20" s="13" t="s">
        <v>70</v>
      </c>
      <c r="C20" s="45" t="str">
        <f>VLOOKUP(T_UAT[[#This Row],[Módulo]],T_Asignaciones[[ID]:[Capacidad B1]],2,FALSE)</f>
        <v>PDD y necesidades de distribución</v>
      </c>
      <c r="D20" s="5" t="s">
        <v>678</v>
      </c>
      <c r="E20" s="5" t="s">
        <v>607</v>
      </c>
      <c r="F20" s="5" t="s">
        <v>679</v>
      </c>
      <c r="G20" s="5" t="s">
        <v>680</v>
      </c>
      <c r="H20" s="5" t="s">
        <v>681</v>
      </c>
      <c r="I20" s="5" t="s">
        <v>137</v>
      </c>
      <c r="J20" s="5" t="s">
        <v>138</v>
      </c>
      <c r="K20" s="7"/>
      <c r="L20" s="7"/>
      <c r="M20" s="7"/>
      <c r="N20" s="7"/>
      <c r="O20" s="8"/>
      <c r="P20" s="7"/>
      <c r="Q20" s="7"/>
      <c r="R20" s="7"/>
      <c r="S20" s="7"/>
      <c r="T20" s="7"/>
      <c r="U20" s="7" t="s">
        <v>611</v>
      </c>
      <c r="V20" s="5" t="str">
        <f t="shared" si="0"/>
        <v>Sin ejecutar</v>
      </c>
      <c r="W20" s="8"/>
      <c r="X20" s="7"/>
      <c r="Y20" s="8"/>
    </row>
    <row r="21" spans="1:25" ht="35.1" customHeight="1">
      <c r="A21" s="16" t="s">
        <v>682</v>
      </c>
      <c r="B21" s="16" t="s">
        <v>70</v>
      </c>
      <c r="C21" s="46" t="str">
        <f>VLOOKUP(T_UAT[[#This Row],[Módulo]],T_Asignaciones[[ID]:[Capacidad B1]],2,FALSE)</f>
        <v>PDD y necesidades de distribución</v>
      </c>
      <c r="D21" s="6" t="s">
        <v>683</v>
      </c>
      <c r="E21" s="6" t="s">
        <v>607</v>
      </c>
      <c r="F21" s="6" t="s">
        <v>684</v>
      </c>
      <c r="G21" s="6" t="s">
        <v>685</v>
      </c>
      <c r="H21" s="6" t="s">
        <v>686</v>
      </c>
      <c r="I21" s="6" t="s">
        <v>137</v>
      </c>
      <c r="J21" s="6" t="s">
        <v>138</v>
      </c>
      <c r="K21" s="7"/>
      <c r="L21" s="7"/>
      <c r="M21" s="7"/>
      <c r="N21" s="7"/>
      <c r="O21" s="8"/>
      <c r="P21" s="7"/>
      <c r="Q21" s="7"/>
      <c r="R21" s="7"/>
      <c r="S21" s="7"/>
      <c r="T21" s="7"/>
      <c r="U21" s="7" t="s">
        <v>611</v>
      </c>
      <c r="V21" s="6" t="str">
        <f t="shared" si="0"/>
        <v>Sin ejecutar</v>
      </c>
      <c r="W21" s="8"/>
      <c r="X21" s="7"/>
      <c r="Y21" s="8"/>
    </row>
    <row r="22" spans="1:25" ht="35.1" customHeight="1">
      <c r="A22" s="13" t="s">
        <v>687</v>
      </c>
      <c r="B22" s="13" t="s">
        <v>74</v>
      </c>
      <c r="C22" s="45" t="str">
        <f>VLOOKUP(T_UAT[[#This Row],[Módulo]],T_Asignaciones[[ID]:[Capacidad B1]],2,FALSE)</f>
        <v>Transferencias y distribución con Valkimia</v>
      </c>
      <c r="D22" s="5" t="s">
        <v>688</v>
      </c>
      <c r="E22" s="5" t="s">
        <v>607</v>
      </c>
      <c r="F22" s="5" t="s">
        <v>689</v>
      </c>
      <c r="G22" s="5" t="s">
        <v>690</v>
      </c>
      <c r="H22" s="5" t="s">
        <v>691</v>
      </c>
      <c r="I22" s="5" t="s">
        <v>137</v>
      </c>
      <c r="J22" s="5" t="s">
        <v>138</v>
      </c>
      <c r="K22" s="7"/>
      <c r="L22" s="7"/>
      <c r="M22" s="7"/>
      <c r="N22" s="7"/>
      <c r="O22" s="8"/>
      <c r="P22" s="7"/>
      <c r="Q22" s="7"/>
      <c r="R22" s="7"/>
      <c r="S22" s="7"/>
      <c r="T22" s="7"/>
      <c r="U22" s="7" t="s">
        <v>611</v>
      </c>
      <c r="V22" s="5" t="str">
        <f t="shared" si="0"/>
        <v>Sin ejecutar</v>
      </c>
      <c r="W22" s="8"/>
      <c r="X22" s="7"/>
      <c r="Y22" s="8"/>
    </row>
    <row r="23" spans="1:25" ht="35.1" customHeight="1">
      <c r="A23" s="16" t="s">
        <v>692</v>
      </c>
      <c r="B23" s="16" t="s">
        <v>74</v>
      </c>
      <c r="C23" s="46" t="str">
        <f>VLOOKUP(T_UAT[[#This Row],[Módulo]],T_Asignaciones[[ID]:[Capacidad B1]],2,FALSE)</f>
        <v>Transferencias y distribución con Valkimia</v>
      </c>
      <c r="D23" s="6" t="s">
        <v>693</v>
      </c>
      <c r="E23" s="6" t="s">
        <v>607</v>
      </c>
      <c r="F23" s="6" t="s">
        <v>694</v>
      </c>
      <c r="G23" s="6" t="s">
        <v>695</v>
      </c>
      <c r="H23" s="6" t="s">
        <v>696</v>
      </c>
      <c r="I23" s="6" t="s">
        <v>137</v>
      </c>
      <c r="J23" s="6" t="s">
        <v>138</v>
      </c>
      <c r="K23" s="7"/>
      <c r="L23" s="7"/>
      <c r="M23" s="7"/>
      <c r="N23" s="7"/>
      <c r="O23" s="8"/>
      <c r="P23" s="7"/>
      <c r="Q23" s="7"/>
      <c r="R23" s="7"/>
      <c r="S23" s="7"/>
      <c r="T23" s="7"/>
      <c r="U23" s="7" t="s">
        <v>611</v>
      </c>
      <c r="V23" s="6" t="str">
        <f t="shared" si="0"/>
        <v>Sin ejecutar</v>
      </c>
      <c r="W23" s="8"/>
      <c r="X23" s="7"/>
      <c r="Y23" s="8"/>
    </row>
    <row r="24" spans="1:25" ht="35.1" customHeight="1">
      <c r="A24" s="13" t="s">
        <v>697</v>
      </c>
      <c r="B24" s="13" t="s">
        <v>78</v>
      </c>
      <c r="C24" s="45" t="str">
        <f>VLOOKUP(T_UAT[[#This Row],[Módulo]],T_Asignaciones[[ID]:[Capacidad B1]],2,FALSE)</f>
        <v>Stock, conciliación y observabilidad</v>
      </c>
      <c r="D24" s="5" t="s">
        <v>698</v>
      </c>
      <c r="E24" s="5" t="s">
        <v>607</v>
      </c>
      <c r="F24" s="5" t="s">
        <v>699</v>
      </c>
      <c r="G24" s="5" t="s">
        <v>700</v>
      </c>
      <c r="H24" s="5" t="s">
        <v>701</v>
      </c>
      <c r="I24" s="5" t="s">
        <v>137</v>
      </c>
      <c r="J24" s="5" t="s">
        <v>138</v>
      </c>
      <c r="K24" s="7"/>
      <c r="L24" s="7"/>
      <c r="M24" s="7"/>
      <c r="N24" s="7"/>
      <c r="O24" s="8"/>
      <c r="P24" s="7"/>
      <c r="Q24" s="7"/>
      <c r="R24" s="7"/>
      <c r="S24" s="7"/>
      <c r="T24" s="7"/>
      <c r="U24" s="7" t="s">
        <v>611</v>
      </c>
      <c r="V24" s="5" t="str">
        <f t="shared" si="0"/>
        <v>Sin ejecutar</v>
      </c>
      <c r="W24" s="8"/>
      <c r="X24" s="7"/>
      <c r="Y24" s="8"/>
    </row>
    <row r="25" spans="1:25" ht="35.1" customHeight="1">
      <c r="A25" s="16" t="s">
        <v>702</v>
      </c>
      <c r="B25" s="16" t="s">
        <v>78</v>
      </c>
      <c r="C25" s="46" t="str">
        <f>VLOOKUP(T_UAT[[#This Row],[Módulo]],T_Asignaciones[[ID]:[Capacidad B1]],2,FALSE)</f>
        <v>Stock, conciliación y observabilidad</v>
      </c>
      <c r="D25" s="6" t="s">
        <v>703</v>
      </c>
      <c r="E25" s="6" t="s">
        <v>607</v>
      </c>
      <c r="F25" s="6" t="s">
        <v>704</v>
      </c>
      <c r="G25" s="6" t="s">
        <v>705</v>
      </c>
      <c r="H25" s="6" t="s">
        <v>706</v>
      </c>
      <c r="I25" s="6" t="s">
        <v>137</v>
      </c>
      <c r="J25" s="6" t="s">
        <v>138</v>
      </c>
      <c r="K25" s="7"/>
      <c r="L25" s="7"/>
      <c r="M25" s="7"/>
      <c r="N25" s="7"/>
      <c r="O25" s="8"/>
      <c r="P25" s="7"/>
      <c r="Q25" s="7"/>
      <c r="R25" s="7"/>
      <c r="S25" s="7"/>
      <c r="T25" s="7"/>
      <c r="U25" s="7" t="s">
        <v>611</v>
      </c>
      <c r="V25" s="6" t="str">
        <f t="shared" si="0"/>
        <v>Sin ejecutar</v>
      </c>
      <c r="W25" s="8"/>
      <c r="X25" s="7"/>
      <c r="Y25" s="8"/>
    </row>
    <row r="26" spans="1:25" ht="35.1" customHeight="1">
      <c r="A26" s="13" t="s">
        <v>707</v>
      </c>
      <c r="B26" s="43" t="s">
        <v>100</v>
      </c>
      <c r="C26" s="45"/>
      <c r="D26" s="5" t="s">
        <v>708</v>
      </c>
      <c r="E26" s="5" t="s">
        <v>607</v>
      </c>
      <c r="F26" s="5" t="s">
        <v>709</v>
      </c>
      <c r="G26" s="5" t="s">
        <v>710</v>
      </c>
      <c r="H26" s="5" t="s">
        <v>711</v>
      </c>
      <c r="I26" s="5" t="s">
        <v>137</v>
      </c>
      <c r="J26" s="5" t="s">
        <v>138</v>
      </c>
      <c r="K26" s="7"/>
      <c r="L26" s="7"/>
      <c r="M26" s="7"/>
      <c r="N26" s="7"/>
      <c r="O26" s="8"/>
      <c r="P26" s="7"/>
      <c r="Q26" s="7"/>
      <c r="R26" s="7"/>
      <c r="S26" s="7"/>
      <c r="T26" s="7"/>
      <c r="U26" s="7" t="s">
        <v>611</v>
      </c>
      <c r="V26" s="5" t="str">
        <f t="shared" si="0"/>
        <v>Sin ejecutar</v>
      </c>
      <c r="W26" s="8"/>
      <c r="X26" s="7"/>
      <c r="Y26" s="8"/>
    </row>
    <row r="27" spans="1:25" ht="35.1" customHeight="1">
      <c r="A27" s="16" t="s">
        <v>712</v>
      </c>
      <c r="B27" s="44" t="s">
        <v>100</v>
      </c>
      <c r="C27" s="46"/>
      <c r="D27" s="6" t="s">
        <v>713</v>
      </c>
      <c r="E27" s="6" t="s">
        <v>607</v>
      </c>
      <c r="F27" s="6" t="s">
        <v>714</v>
      </c>
      <c r="G27" s="6" t="s">
        <v>715</v>
      </c>
      <c r="H27" s="6" t="s">
        <v>716</v>
      </c>
      <c r="I27" s="6" t="s">
        <v>137</v>
      </c>
      <c r="J27" s="6" t="s">
        <v>138</v>
      </c>
      <c r="K27" s="7"/>
      <c r="L27" s="7"/>
      <c r="M27" s="7"/>
      <c r="N27" s="7"/>
      <c r="O27" s="8"/>
      <c r="P27" s="7"/>
      <c r="Q27" s="7"/>
      <c r="R27" s="7"/>
      <c r="S27" s="7"/>
      <c r="T27" s="7"/>
      <c r="U27" s="7" t="s">
        <v>611</v>
      </c>
      <c r="V27" s="6" t="str">
        <f t="shared" si="0"/>
        <v>Sin ejecutar</v>
      </c>
      <c r="W27" s="8"/>
      <c r="X27" s="7"/>
      <c r="Y27" s="8"/>
    </row>
    <row r="28" spans="1:25" ht="35.1" customHeight="1">
      <c r="A28" s="13" t="s">
        <v>717</v>
      </c>
      <c r="B28" s="43" t="s">
        <v>100</v>
      </c>
      <c r="C28" s="45"/>
      <c r="D28" s="5" t="s">
        <v>718</v>
      </c>
      <c r="E28" s="5" t="s">
        <v>607</v>
      </c>
      <c r="F28" s="5" t="s">
        <v>719</v>
      </c>
      <c r="G28" s="5" t="s">
        <v>720</v>
      </c>
      <c r="H28" s="5" t="s">
        <v>721</v>
      </c>
      <c r="I28" s="5" t="s">
        <v>137</v>
      </c>
      <c r="J28" s="5" t="s">
        <v>138</v>
      </c>
      <c r="K28" s="7"/>
      <c r="L28" s="7"/>
      <c r="M28" s="7"/>
      <c r="N28" s="7"/>
      <c r="O28" s="8"/>
      <c r="P28" s="7"/>
      <c r="Q28" s="7"/>
      <c r="R28" s="7"/>
      <c r="S28" s="7"/>
      <c r="T28" s="7"/>
      <c r="U28" s="7" t="s">
        <v>611</v>
      </c>
      <c r="V28" s="5" t="str">
        <f t="shared" si="0"/>
        <v>Sin ejecutar</v>
      </c>
      <c r="W28" s="8"/>
      <c r="X28" s="7"/>
      <c r="Y28" s="8"/>
    </row>
    <row r="29" spans="1:25" ht="35.1" customHeight="1">
      <c r="A29" s="16" t="s">
        <v>722</v>
      </c>
      <c r="B29" s="44" t="s">
        <v>100</v>
      </c>
      <c r="C29" s="46"/>
      <c r="D29" s="6" t="s">
        <v>723</v>
      </c>
      <c r="E29" s="6" t="s">
        <v>607</v>
      </c>
      <c r="F29" s="6" t="s">
        <v>724</v>
      </c>
      <c r="G29" s="6" t="s">
        <v>725</v>
      </c>
      <c r="H29" s="6" t="s">
        <v>726</v>
      </c>
      <c r="I29" s="6" t="s">
        <v>137</v>
      </c>
      <c r="J29" s="6" t="s">
        <v>138</v>
      </c>
      <c r="K29" s="7"/>
      <c r="L29" s="7"/>
      <c r="M29" s="7"/>
      <c r="N29" s="7"/>
      <c r="O29" s="8"/>
      <c r="P29" s="7"/>
      <c r="Q29" s="7"/>
      <c r="R29" s="7"/>
      <c r="S29" s="7"/>
      <c r="T29" s="7"/>
      <c r="U29" s="7" t="s">
        <v>611</v>
      </c>
      <c r="V29" s="6" t="str">
        <f t="shared" si="0"/>
        <v>Sin ejecutar</v>
      </c>
      <c r="W29" s="8"/>
      <c r="X29" s="7"/>
      <c r="Y29" s="8"/>
    </row>
    <row r="30" spans="1:25" ht="35.1" customHeight="1">
      <c r="A30" s="13" t="s">
        <v>727</v>
      </c>
      <c r="B30" s="43" t="s">
        <v>100</v>
      </c>
      <c r="C30" s="45"/>
      <c r="D30" s="5" t="s">
        <v>728</v>
      </c>
      <c r="E30" s="5" t="s">
        <v>607</v>
      </c>
      <c r="F30" s="5" t="s">
        <v>729</v>
      </c>
      <c r="G30" s="5" t="s">
        <v>730</v>
      </c>
      <c r="H30" s="5" t="s">
        <v>731</v>
      </c>
      <c r="I30" s="5" t="s">
        <v>137</v>
      </c>
      <c r="J30" s="5" t="s">
        <v>138</v>
      </c>
      <c r="K30" s="7"/>
      <c r="L30" s="7"/>
      <c r="M30" s="7"/>
      <c r="N30" s="7"/>
      <c r="O30" s="8"/>
      <c r="P30" s="7"/>
      <c r="Q30" s="7"/>
      <c r="R30" s="7"/>
      <c r="S30" s="7"/>
      <c r="T30" s="7"/>
      <c r="U30" s="7" t="s">
        <v>611</v>
      </c>
      <c r="V30" s="5" t="str">
        <f t="shared" si="0"/>
        <v>Sin ejecutar</v>
      </c>
      <c r="W30" s="8"/>
      <c r="X30" s="7"/>
      <c r="Y30" s="8"/>
    </row>
    <row r="31" spans="1:25" ht="35.1" customHeight="1">
      <c r="A31" s="16" t="s">
        <v>732</v>
      </c>
      <c r="B31" s="16" t="s">
        <v>60</v>
      </c>
      <c r="C31" s="46" t="str">
        <f>VLOOKUP(T_UAT[[#This Row],[Módulo]],T_Asignaciones[[ID]:[Capacidad B1]],2,FALSE)</f>
        <v>Órdenes de compra e integración SGM</v>
      </c>
      <c r="D31" s="6" t="s">
        <v>733</v>
      </c>
      <c r="E31" s="6" t="s">
        <v>607</v>
      </c>
      <c r="F31" s="6" t="s">
        <v>734</v>
      </c>
      <c r="G31" s="6" t="s">
        <v>735</v>
      </c>
      <c r="H31" s="6" t="s">
        <v>736</v>
      </c>
      <c r="I31" s="6" t="s">
        <v>137</v>
      </c>
      <c r="J31" s="6" t="s">
        <v>138</v>
      </c>
      <c r="K31" s="7"/>
      <c r="L31" s="7"/>
      <c r="M31" s="7"/>
      <c r="N31" s="7"/>
      <c r="O31" s="8"/>
      <c r="P31" s="7"/>
      <c r="Q31" s="7"/>
      <c r="R31" s="7"/>
      <c r="S31" s="7"/>
      <c r="T31" s="7"/>
      <c r="U31" s="7" t="s">
        <v>611</v>
      </c>
      <c r="V31" s="6" t="str">
        <f t="shared" si="0"/>
        <v>Sin ejecutar</v>
      </c>
      <c r="W31" s="8"/>
      <c r="X31" s="7"/>
      <c r="Y31" s="8"/>
    </row>
    <row r="32" spans="1:25" ht="35.1" customHeight="1">
      <c r="A32" s="13" t="s">
        <v>737</v>
      </c>
      <c r="B32" s="13" t="s">
        <v>60</v>
      </c>
      <c r="C32" s="45" t="str">
        <f>VLOOKUP(T_UAT[[#This Row],[Módulo]],T_Asignaciones[[ID]:[Capacidad B1]],2,FALSE)</f>
        <v>Órdenes de compra e integración SGM</v>
      </c>
      <c r="D32" s="5" t="s">
        <v>738</v>
      </c>
      <c r="E32" s="5" t="s">
        <v>607</v>
      </c>
      <c r="F32" s="5" t="s">
        <v>739</v>
      </c>
      <c r="G32" s="5" t="s">
        <v>740</v>
      </c>
      <c r="H32" s="5" t="s">
        <v>741</v>
      </c>
      <c r="I32" s="5" t="s">
        <v>137</v>
      </c>
      <c r="J32" s="5" t="s">
        <v>138</v>
      </c>
      <c r="K32" s="7"/>
      <c r="L32" s="7"/>
      <c r="M32" s="7"/>
      <c r="N32" s="7"/>
      <c r="O32" s="8"/>
      <c r="P32" s="7"/>
      <c r="Q32" s="7"/>
      <c r="R32" s="7"/>
      <c r="S32" s="7"/>
      <c r="T32" s="7"/>
      <c r="U32" s="7" t="s">
        <v>611</v>
      </c>
      <c r="V32" s="5" t="str">
        <f t="shared" si="0"/>
        <v>Sin ejecutar</v>
      </c>
      <c r="W32" s="8"/>
      <c r="X32" s="7"/>
      <c r="Y32" s="8"/>
    </row>
    <row r="33" spans="1:25" ht="35.1" customHeight="1">
      <c r="A33" s="16" t="s">
        <v>742</v>
      </c>
      <c r="B33" s="16" t="s">
        <v>60</v>
      </c>
      <c r="C33" s="46" t="str">
        <f>VLOOKUP(T_UAT[[#This Row],[Módulo]],T_Asignaciones[[ID]:[Capacidad B1]],2,FALSE)</f>
        <v>Órdenes de compra e integración SGM</v>
      </c>
      <c r="D33" s="6" t="s">
        <v>743</v>
      </c>
      <c r="E33" s="6" t="s">
        <v>607</v>
      </c>
      <c r="F33" s="6" t="s">
        <v>744</v>
      </c>
      <c r="G33" s="6" t="s">
        <v>745</v>
      </c>
      <c r="H33" s="6" t="s">
        <v>746</v>
      </c>
      <c r="I33" s="6" t="s">
        <v>137</v>
      </c>
      <c r="J33" s="6" t="s">
        <v>138</v>
      </c>
      <c r="K33" s="7"/>
      <c r="L33" s="7"/>
      <c r="M33" s="7"/>
      <c r="N33" s="7"/>
      <c r="O33" s="8"/>
      <c r="P33" s="7"/>
      <c r="Q33" s="7"/>
      <c r="R33" s="7"/>
      <c r="S33" s="7"/>
      <c r="T33" s="7"/>
      <c r="U33" s="7" t="s">
        <v>611</v>
      </c>
      <c r="V33" s="6" t="str">
        <f t="shared" si="0"/>
        <v>Sin ejecutar</v>
      </c>
      <c r="W33" s="8"/>
      <c r="X33" s="7"/>
      <c r="Y33" s="8"/>
    </row>
    <row r="34" spans="1:25" ht="35.1" customHeight="1">
      <c r="A34" s="13" t="s">
        <v>747</v>
      </c>
      <c r="B34" s="13" t="s">
        <v>74</v>
      </c>
      <c r="C34" s="45" t="str">
        <f>VLOOKUP(T_UAT[[#This Row],[Módulo]],T_Asignaciones[[ID]:[Capacidad B1]],2,FALSE)</f>
        <v>Transferencias y distribución con Valkimia</v>
      </c>
      <c r="D34" s="5" t="s">
        <v>748</v>
      </c>
      <c r="E34" s="5" t="s">
        <v>607</v>
      </c>
      <c r="F34" s="5" t="s">
        <v>749</v>
      </c>
      <c r="G34" s="5" t="s">
        <v>750</v>
      </c>
      <c r="H34" s="5" t="s">
        <v>751</v>
      </c>
      <c r="I34" s="5" t="s">
        <v>137</v>
      </c>
      <c r="J34" s="5" t="s">
        <v>138</v>
      </c>
      <c r="K34" s="7"/>
      <c r="L34" s="7"/>
      <c r="M34" s="7"/>
      <c r="N34" s="7"/>
      <c r="O34" s="8"/>
      <c r="P34" s="7"/>
      <c r="Q34" s="7"/>
      <c r="R34" s="7"/>
      <c r="S34" s="7"/>
      <c r="T34" s="7"/>
      <c r="U34" s="7" t="s">
        <v>611</v>
      </c>
      <c r="V34" s="5" t="str">
        <f t="shared" si="0"/>
        <v>Sin ejecutar</v>
      </c>
      <c r="W34" s="8"/>
      <c r="X34" s="7"/>
      <c r="Y34" s="8"/>
    </row>
    <row r="35" spans="1:25" ht="35.1" customHeight="1">
      <c r="A35" s="16" t="s">
        <v>752</v>
      </c>
      <c r="B35" s="16" t="s">
        <v>60</v>
      </c>
      <c r="C35" s="46" t="str">
        <f>VLOOKUP(T_UAT[[#This Row],[Módulo]],T_Asignaciones[[ID]:[Capacidad B1]],2,FALSE)</f>
        <v>Órdenes de compra e integración SGM</v>
      </c>
      <c r="D35" s="6" t="s">
        <v>753</v>
      </c>
      <c r="E35" s="6" t="s">
        <v>607</v>
      </c>
      <c r="F35" s="6" t="s">
        <v>754</v>
      </c>
      <c r="G35" s="6" t="s">
        <v>755</v>
      </c>
      <c r="H35" s="6" t="s">
        <v>756</v>
      </c>
      <c r="I35" s="6" t="s">
        <v>137</v>
      </c>
      <c r="J35" s="6" t="s">
        <v>138</v>
      </c>
      <c r="K35" s="7"/>
      <c r="L35" s="7"/>
      <c r="M35" s="7"/>
      <c r="N35" s="7"/>
      <c r="O35" s="8"/>
      <c r="P35" s="7"/>
      <c r="Q35" s="7"/>
      <c r="R35" s="7"/>
      <c r="S35" s="7"/>
      <c r="T35" s="7"/>
      <c r="U35" s="7" t="s">
        <v>611</v>
      </c>
      <c r="V35" s="6" t="str">
        <f t="shared" si="0"/>
        <v>Sin ejecutar</v>
      </c>
      <c r="W35" s="8"/>
      <c r="X35" s="7"/>
      <c r="Y35" s="8"/>
    </row>
    <row r="36" spans="1:25" ht="35.1" customHeight="1">
      <c r="A36" s="13" t="s">
        <v>757</v>
      </c>
      <c r="B36" s="13" t="s">
        <v>62</v>
      </c>
      <c r="C36" s="45" t="str">
        <f>VLOOKUP(T_UAT[[#This Row],[Módulo]],T_Asignaciones[[ID]:[Capacidad B1]],2,FALSE)</f>
        <v>Recepción en sucursal y convivencia SGM</v>
      </c>
      <c r="D36" s="5" t="s">
        <v>758</v>
      </c>
      <c r="E36" s="5" t="s">
        <v>607</v>
      </c>
      <c r="F36" s="5" t="s">
        <v>759</v>
      </c>
      <c r="G36" s="5" t="s">
        <v>760</v>
      </c>
      <c r="H36" s="5" t="s">
        <v>761</v>
      </c>
      <c r="I36" s="5" t="s">
        <v>137</v>
      </c>
      <c r="J36" s="5" t="s">
        <v>138</v>
      </c>
      <c r="K36" s="7"/>
      <c r="L36" s="7"/>
      <c r="M36" s="7"/>
      <c r="N36" s="7"/>
      <c r="O36" s="8"/>
      <c r="P36" s="7"/>
      <c r="Q36" s="7"/>
      <c r="R36" s="7"/>
      <c r="S36" s="7"/>
      <c r="T36" s="7"/>
      <c r="U36" s="7" t="s">
        <v>611</v>
      </c>
      <c r="V36" s="5" t="str">
        <f t="shared" si="0"/>
        <v>Sin ejecutar</v>
      </c>
      <c r="W36" s="8"/>
      <c r="X36" s="7"/>
      <c r="Y36" s="8"/>
    </row>
    <row r="37" spans="1:25" ht="35.1" customHeight="1">
      <c r="A37" s="16" t="s">
        <v>762</v>
      </c>
      <c r="B37" s="16" t="s">
        <v>66</v>
      </c>
      <c r="C37" s="46" t="str">
        <f>VLOOKUP(T_UAT[[#This Row],[Módulo]],T_Asignaciones[[ID]:[Capacidad B1]],2,FALSE)</f>
        <v>Inventarios y ajustes</v>
      </c>
      <c r="D37" s="6" t="s">
        <v>763</v>
      </c>
      <c r="E37" s="6" t="s">
        <v>607</v>
      </c>
      <c r="F37" s="6" t="s">
        <v>764</v>
      </c>
      <c r="G37" s="6" t="s">
        <v>765</v>
      </c>
      <c r="H37" s="6" t="s">
        <v>766</v>
      </c>
      <c r="I37" s="6" t="s">
        <v>137</v>
      </c>
      <c r="J37" s="6" t="s">
        <v>138</v>
      </c>
      <c r="K37" s="7"/>
      <c r="L37" s="7"/>
      <c r="M37" s="7"/>
      <c r="N37" s="7"/>
      <c r="O37" s="8"/>
      <c r="P37" s="7"/>
      <c r="Q37" s="7"/>
      <c r="R37" s="7"/>
      <c r="S37" s="7"/>
      <c r="T37" s="7"/>
      <c r="U37" s="7" t="s">
        <v>611</v>
      </c>
      <c r="V37" s="6" t="str">
        <f t="shared" si="0"/>
        <v>Sin ejecutar</v>
      </c>
      <c r="W37" s="8"/>
      <c r="X37" s="7"/>
      <c r="Y37" s="8"/>
    </row>
    <row r="38" spans="1:25" ht="35.1" customHeight="1">
      <c r="A38" s="13" t="s">
        <v>767</v>
      </c>
      <c r="B38" s="13" t="s">
        <v>78</v>
      </c>
      <c r="C38" s="45" t="str">
        <f>VLOOKUP(T_UAT[[#This Row],[Módulo]],T_Asignaciones[[ID]:[Capacidad B1]],2,FALSE)</f>
        <v>Stock, conciliación y observabilidad</v>
      </c>
      <c r="D38" s="5" t="s">
        <v>768</v>
      </c>
      <c r="E38" s="5" t="s">
        <v>607</v>
      </c>
      <c r="F38" s="5" t="s">
        <v>769</v>
      </c>
      <c r="G38" s="5" t="s">
        <v>770</v>
      </c>
      <c r="H38" s="5" t="s">
        <v>771</v>
      </c>
      <c r="I38" s="5" t="s">
        <v>137</v>
      </c>
      <c r="J38" s="5" t="s">
        <v>138</v>
      </c>
      <c r="K38" s="7"/>
      <c r="L38" s="7"/>
      <c r="M38" s="7"/>
      <c r="N38" s="7"/>
      <c r="O38" s="8"/>
      <c r="P38" s="7"/>
      <c r="Q38" s="7"/>
      <c r="R38" s="7"/>
      <c r="S38" s="7"/>
      <c r="T38" s="7"/>
      <c r="U38" s="7" t="s">
        <v>611</v>
      </c>
      <c r="V38" s="5" t="str">
        <f t="shared" si="0"/>
        <v>Sin ejecutar</v>
      </c>
      <c r="W38" s="8"/>
      <c r="X38" s="7"/>
      <c r="Y38" s="8"/>
    </row>
  </sheetData>
  <conditionalFormatting sqref="S6:S38">
    <cfRule type="containsText" dxfId="2" priority="2" operator="containsText" text="Fallido"/>
  </conditionalFormatting>
  <conditionalFormatting sqref="V6:V38">
    <cfRule type="containsText" dxfId="1" priority="1" operator="containsText" text="Falta"/>
  </conditionalFormatting>
  <dataValidations count="2">
    <dataValidation type="list" sqref="S6:S38" xr:uid="{00000000-0002-0000-0500-000000000000}">
      <formula1>"Aprobado,Fallido,Bloqueado"</formula1>
    </dataValidation>
    <dataValidation type="list" sqref="U6:U38" xr:uid="{00000000-0002-0000-0500-000001000000}">
      <formula1>"No ejecutado,Ejecutado"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showGridLines="0" workbookViewId="0">
      <pane xSplit="2" ySplit="5" topLeftCell="C7" activePane="bottomRight" state="frozen"/>
      <selection pane="topRight"/>
      <selection pane="bottomLeft"/>
      <selection pane="bottomRight" activeCell="B6" sqref="B6"/>
    </sheetView>
  </sheetViews>
  <sheetFormatPr baseColWidth="10" defaultColWidth="9" defaultRowHeight="14.25"/>
  <cols>
    <col min="1" max="1" width="26" customWidth="1"/>
    <col min="2" max="2" width="40" customWidth="1"/>
    <col min="3" max="4" width="35" customWidth="1"/>
    <col min="5" max="5" width="42" customWidth="1"/>
    <col min="6" max="6" width="34" customWidth="1"/>
    <col min="7" max="7" width="58" customWidth="1"/>
    <col min="8" max="8" width="21" customWidth="1"/>
    <col min="9" max="9" width="28" customWidth="1"/>
    <col min="10" max="10" width="40" customWidth="1"/>
    <col min="11" max="11" width="2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772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773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774</v>
      </c>
      <c r="B5" s="4" t="s">
        <v>775</v>
      </c>
      <c r="C5" s="4" t="s">
        <v>776</v>
      </c>
      <c r="D5" s="4" t="s">
        <v>777</v>
      </c>
      <c r="E5" s="4" t="s">
        <v>778</v>
      </c>
      <c r="F5" s="4" t="s">
        <v>779</v>
      </c>
      <c r="G5" s="4" t="s">
        <v>780</v>
      </c>
      <c r="H5" s="4" t="s">
        <v>600</v>
      </c>
      <c r="I5" s="4" t="s">
        <v>781</v>
      </c>
      <c r="J5" s="4" t="s">
        <v>96</v>
      </c>
      <c r="K5" s="4" t="s">
        <v>782</v>
      </c>
    </row>
    <row r="6" spans="1:11" ht="27.95" customHeight="1">
      <c r="A6" s="7"/>
      <c r="B6" s="7" t="s">
        <v>783</v>
      </c>
      <c r="C6" s="7"/>
      <c r="D6" s="7"/>
      <c r="E6" s="7"/>
      <c r="F6" s="7"/>
      <c r="G6" s="7"/>
      <c r="H6" s="7" t="s">
        <v>529</v>
      </c>
      <c r="I6" s="7"/>
      <c r="J6" s="7"/>
      <c r="K6" s="8"/>
    </row>
    <row r="7" spans="1:11" ht="27.95" customHeight="1">
      <c r="A7" s="7"/>
      <c r="B7" s="7" t="s">
        <v>784</v>
      </c>
      <c r="C7" s="7"/>
      <c r="D7" s="7"/>
      <c r="E7" s="7"/>
      <c r="F7" s="7"/>
      <c r="G7" s="7"/>
      <c r="H7" s="7" t="s">
        <v>529</v>
      </c>
      <c r="I7" s="7"/>
      <c r="J7" s="7"/>
      <c r="K7" s="8"/>
    </row>
    <row r="8" spans="1:11" ht="27.95" customHeight="1">
      <c r="A8" s="7"/>
      <c r="B8" s="7" t="s">
        <v>785</v>
      </c>
      <c r="C8" s="7"/>
      <c r="D8" s="7"/>
      <c r="E8" s="7"/>
      <c r="F8" s="7"/>
      <c r="G8" s="7"/>
      <c r="H8" s="7" t="s">
        <v>529</v>
      </c>
      <c r="I8" s="7"/>
      <c r="J8" s="7"/>
      <c r="K8" s="8"/>
    </row>
    <row r="9" spans="1:11" ht="27.95" customHeight="1">
      <c r="A9" s="7"/>
      <c r="B9" s="7" t="s">
        <v>786</v>
      </c>
      <c r="C9" s="7"/>
      <c r="D9" s="7"/>
      <c r="E9" s="7"/>
      <c r="F9" s="7"/>
      <c r="G9" s="7"/>
      <c r="H9" s="7" t="s">
        <v>529</v>
      </c>
      <c r="I9" s="7"/>
      <c r="J9" s="7"/>
      <c r="K9" s="8"/>
    </row>
    <row r="10" spans="1:11" ht="27.95" customHeight="1">
      <c r="A10" s="7"/>
      <c r="B10" s="7" t="s">
        <v>787</v>
      </c>
      <c r="C10" s="7"/>
      <c r="D10" s="7"/>
      <c r="E10" s="7"/>
      <c r="F10" s="7"/>
      <c r="G10" s="7"/>
      <c r="H10" s="7" t="s">
        <v>529</v>
      </c>
      <c r="I10" s="7"/>
      <c r="J10" s="7"/>
      <c r="K10" s="8"/>
    </row>
    <row r="11" spans="1:11" ht="27.95" customHeight="1">
      <c r="A11" s="7"/>
      <c r="B11" s="7" t="s">
        <v>788</v>
      </c>
      <c r="C11" s="7"/>
      <c r="D11" s="7"/>
      <c r="E11" s="7"/>
      <c r="F11" s="7"/>
      <c r="G11" s="7"/>
      <c r="H11" s="7" t="s">
        <v>529</v>
      </c>
      <c r="I11" s="7"/>
      <c r="J11" s="7"/>
      <c r="K11" s="8"/>
    </row>
    <row r="12" spans="1:11" ht="27.95" customHeight="1">
      <c r="A12" s="7"/>
      <c r="B12" s="7" t="s">
        <v>789</v>
      </c>
      <c r="C12" s="7"/>
      <c r="D12" s="7"/>
      <c r="E12" s="7"/>
      <c r="F12" s="7"/>
      <c r="G12" s="7"/>
      <c r="H12" s="7" t="s">
        <v>529</v>
      </c>
      <c r="I12" s="7"/>
      <c r="J12" s="7"/>
      <c r="K12" s="8"/>
    </row>
    <row r="13" spans="1:11" ht="27.95" customHeight="1">
      <c r="A13" s="7"/>
      <c r="B13" s="7" t="s">
        <v>8</v>
      </c>
      <c r="C13" s="7"/>
      <c r="D13" s="7"/>
      <c r="E13" s="7"/>
      <c r="F13" s="7"/>
      <c r="G13" s="7"/>
      <c r="H13" s="7" t="s">
        <v>529</v>
      </c>
      <c r="I13" s="7"/>
      <c r="J13" s="7"/>
      <c r="K13" s="8"/>
    </row>
    <row r="14" spans="1:11" ht="27.95" customHeight="1">
      <c r="A14" s="7"/>
      <c r="B14" s="7" t="s">
        <v>790</v>
      </c>
      <c r="C14" s="7"/>
      <c r="D14" s="7"/>
      <c r="E14" s="7"/>
      <c r="F14" s="7"/>
      <c r="G14" s="7"/>
      <c r="H14" s="7" t="s">
        <v>529</v>
      </c>
      <c r="I14" s="7"/>
      <c r="J14" s="7"/>
      <c r="K14" s="8"/>
    </row>
    <row r="15" spans="1:11" ht="27.95" customHeight="1">
      <c r="A15" s="7"/>
      <c r="B15" s="7" t="s">
        <v>791</v>
      </c>
      <c r="C15" s="7"/>
      <c r="D15" s="7"/>
      <c r="E15" s="7"/>
      <c r="F15" s="7"/>
      <c r="G15" s="7"/>
      <c r="H15" s="7" t="s">
        <v>529</v>
      </c>
      <c r="I15" s="7"/>
      <c r="J15" s="7"/>
      <c r="K15" s="8"/>
    </row>
    <row r="16" spans="1:11" ht="27.95" customHeight="1">
      <c r="A16" s="7"/>
      <c r="B16" s="7" t="s">
        <v>792</v>
      </c>
      <c r="C16" s="7"/>
      <c r="D16" s="7"/>
      <c r="E16" s="7"/>
      <c r="F16" s="7"/>
      <c r="G16" s="7"/>
      <c r="H16" s="7" t="s">
        <v>529</v>
      </c>
      <c r="I16" s="7"/>
      <c r="J16" s="7"/>
      <c r="K16" s="8"/>
    </row>
    <row r="17" spans="1:11" ht="27.95" customHeight="1">
      <c r="A17" s="7"/>
      <c r="B17" s="7" t="s">
        <v>793</v>
      </c>
      <c r="C17" s="7"/>
      <c r="D17" s="7"/>
      <c r="E17" s="7"/>
      <c r="F17" s="7"/>
      <c r="G17" s="7"/>
      <c r="H17" s="7" t="s">
        <v>529</v>
      </c>
      <c r="I17" s="7"/>
      <c r="J17" s="7"/>
      <c r="K17" s="8"/>
    </row>
    <row r="18" spans="1:11" ht="27.95" customHeight="1">
      <c r="A18" s="7"/>
      <c r="B18" s="7" t="s">
        <v>794</v>
      </c>
      <c r="C18" s="7"/>
      <c r="D18" s="7"/>
      <c r="E18" s="7"/>
      <c r="F18" s="7"/>
      <c r="G18" s="7"/>
      <c r="H18" s="7" t="s">
        <v>529</v>
      </c>
      <c r="I18" s="7"/>
      <c r="J18" s="7"/>
      <c r="K18" s="8"/>
    </row>
    <row r="19" spans="1:11" ht="27.95" customHeight="1">
      <c r="A19" s="7"/>
      <c r="B19" s="7" t="s">
        <v>795</v>
      </c>
      <c r="C19" s="7"/>
      <c r="D19" s="7"/>
      <c r="E19" s="7"/>
      <c r="F19" s="7"/>
      <c r="G19" s="7"/>
      <c r="H19" s="7" t="s">
        <v>529</v>
      </c>
      <c r="I19" s="7"/>
      <c r="J19" s="7"/>
      <c r="K19" s="8"/>
    </row>
    <row r="20" spans="1:11" ht="27.95" customHeight="1">
      <c r="A20" s="7"/>
      <c r="B20" s="7" t="s">
        <v>796</v>
      </c>
      <c r="C20" s="7"/>
      <c r="D20" s="7"/>
      <c r="E20" s="7"/>
      <c r="F20" s="7"/>
      <c r="G20" s="7"/>
      <c r="H20" s="7" t="s">
        <v>529</v>
      </c>
      <c r="I20" s="7"/>
      <c r="J20" s="7"/>
      <c r="K20" s="8"/>
    </row>
    <row r="21" spans="1:11" ht="27.95" customHeight="1">
      <c r="A21" s="7"/>
      <c r="B21" s="7" t="s">
        <v>797</v>
      </c>
      <c r="C21" s="7"/>
      <c r="D21" s="7"/>
      <c r="E21" s="7"/>
      <c r="F21" s="7"/>
      <c r="G21" s="7"/>
      <c r="H21" s="7" t="s">
        <v>529</v>
      </c>
      <c r="I21" s="7"/>
      <c r="J21" s="7"/>
      <c r="K21" s="8"/>
    </row>
    <row r="22" spans="1:11" ht="27.95" customHeight="1">
      <c r="A22" s="7"/>
      <c r="B22" s="7" t="s">
        <v>798</v>
      </c>
      <c r="C22" s="7"/>
      <c r="D22" s="7"/>
      <c r="E22" s="7"/>
      <c r="F22" s="7"/>
      <c r="G22" s="7"/>
      <c r="H22" s="7" t="s">
        <v>529</v>
      </c>
      <c r="I22" s="7"/>
      <c r="J22" s="7"/>
      <c r="K22" s="8"/>
    </row>
    <row r="23" spans="1:11" ht="27.95" customHeight="1">
      <c r="A23" s="7"/>
      <c r="B23" s="7" t="s">
        <v>799</v>
      </c>
      <c r="C23" s="7"/>
      <c r="D23" s="7"/>
      <c r="E23" s="7"/>
      <c r="F23" s="7"/>
      <c r="G23" s="7"/>
      <c r="H23" s="7" t="s">
        <v>529</v>
      </c>
      <c r="I23" s="7"/>
      <c r="J23" s="7"/>
      <c r="K23" s="8"/>
    </row>
  </sheetData>
  <conditionalFormatting sqref="H6:H23">
    <cfRule type="containsText" dxfId="0" priority="1" operator="containsText" text="Fuera"/>
  </conditionalFormatting>
  <dataValidations count="1">
    <dataValidation type="list" sqref="H6:H23" xr:uid="{00000000-0002-0000-0600-000000000000}">
      <formula1>"Pendiente,Coincide,Dentro de tolerancia,Fuera de tolerancia"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9" sqref="D9"/>
    </sheetView>
  </sheetViews>
  <sheetFormatPr baseColWidth="10" defaultColWidth="9" defaultRowHeight="14.25"/>
  <cols>
    <col min="1" max="1" width="12" bestFit="1" customWidth="1"/>
    <col min="2" max="2" width="19.125" bestFit="1" customWidth="1"/>
    <col min="3" max="3" width="16" customWidth="1"/>
    <col min="4" max="4" width="27" customWidth="1"/>
    <col min="5" max="5" width="65.125" customWidth="1"/>
    <col min="6" max="6" width="34" customWidth="1"/>
    <col min="7" max="7" width="20" customWidth="1"/>
    <col min="8" max="8" width="23" customWidth="1"/>
    <col min="9" max="9" width="60" customWidth="1"/>
    <col min="10" max="10" width="27" customWidth="1"/>
    <col min="11" max="11" width="40" customWidth="1"/>
    <col min="12" max="12" width="20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.95" customHeight="1">
      <c r="A2" s="47" t="s">
        <v>800</v>
      </c>
      <c r="B2" s="47"/>
      <c r="C2" s="47"/>
      <c r="D2" s="1"/>
      <c r="E2" s="1"/>
      <c r="F2" s="1"/>
      <c r="G2" s="1"/>
      <c r="H2" s="1"/>
      <c r="I2" s="1"/>
      <c r="J2" s="1"/>
      <c r="K2" s="1"/>
      <c r="L2" s="1"/>
    </row>
    <row r="3" spans="1:12" ht="20.100000000000001" customHeight="1">
      <c r="A3" s="48" t="s">
        <v>801</v>
      </c>
      <c r="B3" s="48"/>
      <c r="C3" s="48"/>
      <c r="D3" s="48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9.950000000000003" customHeight="1">
      <c r="A5" s="4" t="s">
        <v>85</v>
      </c>
      <c r="B5" s="40" t="s">
        <v>1272</v>
      </c>
      <c r="C5" s="4" t="s">
        <v>802</v>
      </c>
      <c r="D5" s="4" t="s">
        <v>803</v>
      </c>
      <c r="E5" s="4" t="s">
        <v>804</v>
      </c>
      <c r="F5" s="4" t="s">
        <v>805</v>
      </c>
      <c r="G5" s="4" t="s">
        <v>806</v>
      </c>
      <c r="H5" s="4" t="s">
        <v>807</v>
      </c>
      <c r="I5" s="4" t="s">
        <v>808</v>
      </c>
      <c r="J5" s="4" t="s">
        <v>809</v>
      </c>
      <c r="K5" s="4" t="s">
        <v>96</v>
      </c>
      <c r="L5" s="4" t="s">
        <v>810</v>
      </c>
    </row>
    <row r="6" spans="1:12" ht="35.1" customHeight="1">
      <c r="A6" s="41" t="s">
        <v>42</v>
      </c>
      <c r="B6" s="13" t="str">
        <f>VLOOKUP(T_Formacion[[#This Row],[Módulo]],T_Asignaciones[[ID]:[Capacidad B1]],2,FALSE)</f>
        <v>Catálogo y maestros</v>
      </c>
      <c r="C6" s="13" t="s">
        <v>811</v>
      </c>
      <c r="D6" s="7"/>
      <c r="E6" s="7" t="s">
        <v>253</v>
      </c>
      <c r="F6" s="7"/>
      <c r="G6" s="8"/>
      <c r="H6" s="7" t="s">
        <v>812</v>
      </c>
      <c r="I6" s="7"/>
      <c r="J6" s="7"/>
      <c r="K6" s="7"/>
      <c r="L6" s="8"/>
    </row>
    <row r="7" spans="1:12" ht="35.1" customHeight="1">
      <c r="A7" s="42" t="s">
        <v>42</v>
      </c>
      <c r="B7" s="16" t="str">
        <f>VLOOKUP(T_Formacion[[#This Row],[Módulo]],T_Asignaciones[[ID]:[Capacidad B1]],2,FALSE)</f>
        <v>Catálogo y maestros</v>
      </c>
      <c r="C7" s="16" t="s">
        <v>813</v>
      </c>
      <c r="D7" s="7"/>
      <c r="E7" s="7" t="s">
        <v>253</v>
      </c>
      <c r="F7" s="7"/>
      <c r="G7" s="8"/>
      <c r="H7" s="7" t="s">
        <v>812</v>
      </c>
      <c r="I7" s="7"/>
      <c r="J7" s="7"/>
      <c r="K7" s="7"/>
      <c r="L7" s="8"/>
    </row>
    <row r="8" spans="1:12" ht="35.1" customHeight="1">
      <c r="A8" s="41" t="s">
        <v>48</v>
      </c>
      <c r="B8" s="13" t="str">
        <f>VLOOKUP(T_Formacion[[#This Row],[Módulo]],T_Asignaciones[[ID]:[Capacidad B1]],2,FALSE)</f>
        <v>Surtido, clusters y segmentos</v>
      </c>
      <c r="C8" s="13" t="s">
        <v>811</v>
      </c>
      <c r="D8" s="7"/>
      <c r="E8" s="7" t="s">
        <v>284</v>
      </c>
      <c r="F8" s="7"/>
      <c r="G8" s="8"/>
      <c r="H8" s="7" t="s">
        <v>812</v>
      </c>
      <c r="I8" s="7"/>
      <c r="J8" s="7"/>
      <c r="K8" s="7"/>
      <c r="L8" s="8"/>
    </row>
    <row r="9" spans="1:12" ht="35.1" customHeight="1">
      <c r="A9" s="42" t="s">
        <v>48</v>
      </c>
      <c r="B9" s="16" t="str">
        <f>VLOOKUP(T_Formacion[[#This Row],[Módulo]],T_Asignaciones[[ID]:[Capacidad B1]],2,FALSE)</f>
        <v>Surtido, clusters y segmentos</v>
      </c>
      <c r="C9" s="16" t="s">
        <v>813</v>
      </c>
      <c r="D9" s="7"/>
      <c r="E9" s="7" t="s">
        <v>284</v>
      </c>
      <c r="F9" s="7"/>
      <c r="G9" s="8"/>
      <c r="H9" s="7" t="s">
        <v>812</v>
      </c>
      <c r="I9" s="7"/>
      <c r="J9" s="7"/>
      <c r="K9" s="7"/>
      <c r="L9" s="8"/>
    </row>
    <row r="10" spans="1:12" ht="35.1" customHeight="1">
      <c r="A10" s="41" t="s">
        <v>52</v>
      </c>
      <c r="B10" s="13" t="str">
        <f>VLOOKUP(T_Formacion[[#This Row],[Módulo]],T_Asignaciones[[ID]:[Capacidad B1]],2,FALSE)</f>
        <v>Listas y acuerdos comerciales de compra</v>
      </c>
      <c r="C10" s="13" t="s">
        <v>811</v>
      </c>
      <c r="D10" s="7"/>
      <c r="E10" s="7" t="s">
        <v>302</v>
      </c>
      <c r="F10" s="7"/>
      <c r="G10" s="8"/>
      <c r="H10" s="7" t="s">
        <v>812</v>
      </c>
      <c r="I10" s="7"/>
      <c r="J10" s="7"/>
      <c r="K10" s="7"/>
      <c r="L10" s="8"/>
    </row>
    <row r="11" spans="1:12" ht="35.1" customHeight="1">
      <c r="A11" s="42" t="s">
        <v>52</v>
      </c>
      <c r="B11" s="16" t="str">
        <f>VLOOKUP(T_Formacion[[#This Row],[Módulo]],T_Asignaciones[[ID]:[Capacidad B1]],2,FALSE)</f>
        <v>Listas y acuerdos comerciales de compra</v>
      </c>
      <c r="C11" s="16" t="s">
        <v>813</v>
      </c>
      <c r="D11" s="7"/>
      <c r="E11" s="7" t="s">
        <v>302</v>
      </c>
      <c r="F11" s="7"/>
      <c r="G11" s="8"/>
      <c r="H11" s="7" t="s">
        <v>812</v>
      </c>
      <c r="I11" s="7"/>
      <c r="J11" s="7"/>
      <c r="K11" s="7"/>
      <c r="L11" s="8"/>
    </row>
    <row r="12" spans="1:12" ht="35.1" customHeight="1">
      <c r="A12" s="41" t="s">
        <v>56</v>
      </c>
      <c r="B12" s="13" t="str">
        <f>VLOOKUP(T_Formacion[[#This Row],[Módulo]],T_Asignaciones[[ID]:[Capacidad B1]],2,FALSE)</f>
        <v>Forecast y compra inteligente/directa</v>
      </c>
      <c r="C12" s="13" t="s">
        <v>811</v>
      </c>
      <c r="D12" s="7"/>
      <c r="E12" s="7" t="s">
        <v>319</v>
      </c>
      <c r="F12" s="7"/>
      <c r="G12" s="8"/>
      <c r="H12" s="7" t="s">
        <v>812</v>
      </c>
      <c r="I12" s="7"/>
      <c r="J12" s="7"/>
      <c r="K12" s="7"/>
      <c r="L12" s="8"/>
    </row>
    <row r="13" spans="1:12" ht="35.1" customHeight="1">
      <c r="A13" s="42" t="s">
        <v>56</v>
      </c>
      <c r="B13" s="16" t="str">
        <f>VLOOKUP(T_Formacion[[#This Row],[Módulo]],T_Asignaciones[[ID]:[Capacidad B1]],2,FALSE)</f>
        <v>Forecast y compra inteligente/directa</v>
      </c>
      <c r="C13" s="16" t="s">
        <v>813</v>
      </c>
      <c r="D13" s="7"/>
      <c r="E13" s="7" t="s">
        <v>319</v>
      </c>
      <c r="F13" s="7"/>
      <c r="G13" s="8"/>
      <c r="H13" s="7" t="s">
        <v>812</v>
      </c>
      <c r="I13" s="7"/>
      <c r="J13" s="7"/>
      <c r="K13" s="7"/>
      <c r="L13" s="8"/>
    </row>
    <row r="14" spans="1:12" ht="35.1" customHeight="1">
      <c r="A14" s="41" t="s">
        <v>60</v>
      </c>
      <c r="B14" s="13" t="str">
        <f>VLOOKUP(T_Formacion[[#This Row],[Módulo]],T_Asignaciones[[ID]:[Capacidad B1]],2,FALSE)</f>
        <v>Órdenes de compra e integración SGM</v>
      </c>
      <c r="C14" s="13" t="s">
        <v>811</v>
      </c>
      <c r="D14" s="7"/>
      <c r="E14" s="7" t="s">
        <v>336</v>
      </c>
      <c r="F14" s="7"/>
      <c r="G14" s="8"/>
      <c r="H14" s="7" t="s">
        <v>812</v>
      </c>
      <c r="I14" s="7"/>
      <c r="J14" s="7"/>
      <c r="K14" s="7"/>
      <c r="L14" s="8"/>
    </row>
    <row r="15" spans="1:12" ht="35.1" customHeight="1">
      <c r="A15" s="42" t="s">
        <v>60</v>
      </c>
      <c r="B15" s="16" t="str">
        <f>VLOOKUP(T_Formacion[[#This Row],[Módulo]],T_Asignaciones[[ID]:[Capacidad B1]],2,FALSE)</f>
        <v>Órdenes de compra e integración SGM</v>
      </c>
      <c r="C15" s="16" t="s">
        <v>813</v>
      </c>
      <c r="D15" s="7"/>
      <c r="E15" s="7" t="s">
        <v>336</v>
      </c>
      <c r="F15" s="7"/>
      <c r="G15" s="8"/>
      <c r="H15" s="7" t="s">
        <v>812</v>
      </c>
      <c r="I15" s="7"/>
      <c r="J15" s="7"/>
      <c r="K15" s="7"/>
      <c r="L15" s="8"/>
    </row>
    <row r="16" spans="1:12" ht="35.1" customHeight="1">
      <c r="A16" s="41" t="s">
        <v>62</v>
      </c>
      <c r="B16" s="13" t="str">
        <f>VLOOKUP(T_Formacion[[#This Row],[Módulo]],T_Asignaciones[[ID]:[Capacidad B1]],2,FALSE)</f>
        <v>Recepción en sucursal y convivencia SGM</v>
      </c>
      <c r="C16" s="13" t="s">
        <v>811</v>
      </c>
      <c r="D16" s="7"/>
      <c r="E16" s="7" t="s">
        <v>353</v>
      </c>
      <c r="F16" s="7"/>
      <c r="G16" s="8"/>
      <c r="H16" s="7" t="s">
        <v>812</v>
      </c>
      <c r="I16" s="7"/>
      <c r="J16" s="7"/>
      <c r="K16" s="7"/>
      <c r="L16" s="8"/>
    </row>
    <row r="17" spans="1:12" ht="35.1" customHeight="1">
      <c r="A17" s="42" t="s">
        <v>62</v>
      </c>
      <c r="B17" s="16" t="str">
        <f>VLOOKUP(T_Formacion[[#This Row],[Módulo]],T_Asignaciones[[ID]:[Capacidad B1]],2,FALSE)</f>
        <v>Recepción en sucursal y convivencia SGM</v>
      </c>
      <c r="C17" s="16" t="s">
        <v>813</v>
      </c>
      <c r="D17" s="7"/>
      <c r="E17" s="7" t="s">
        <v>353</v>
      </c>
      <c r="F17" s="7"/>
      <c r="G17" s="8"/>
      <c r="H17" s="7" t="s">
        <v>812</v>
      </c>
      <c r="I17" s="7"/>
      <c r="J17" s="7"/>
      <c r="K17" s="7"/>
      <c r="L17" s="8"/>
    </row>
    <row r="18" spans="1:12" ht="35.1" customHeight="1">
      <c r="A18" s="41" t="s">
        <v>66</v>
      </c>
      <c r="B18" s="13" t="str">
        <f>VLOOKUP(T_Formacion[[#This Row],[Módulo]],T_Asignaciones[[ID]:[Capacidad B1]],2,FALSE)</f>
        <v>Inventarios y ajustes</v>
      </c>
      <c r="C18" s="13" t="s">
        <v>811</v>
      </c>
      <c r="D18" s="7"/>
      <c r="E18" s="7" t="s">
        <v>370</v>
      </c>
      <c r="F18" s="7"/>
      <c r="G18" s="8"/>
      <c r="H18" s="7" t="s">
        <v>812</v>
      </c>
      <c r="I18" s="7"/>
      <c r="J18" s="7"/>
      <c r="K18" s="7"/>
      <c r="L18" s="8"/>
    </row>
    <row r="19" spans="1:12" ht="35.1" customHeight="1">
      <c r="A19" s="42" t="s">
        <v>66</v>
      </c>
      <c r="B19" s="16" t="str">
        <f>VLOOKUP(T_Formacion[[#This Row],[Módulo]],T_Asignaciones[[ID]:[Capacidad B1]],2,FALSE)</f>
        <v>Inventarios y ajustes</v>
      </c>
      <c r="C19" s="16" t="s">
        <v>813</v>
      </c>
      <c r="D19" s="7"/>
      <c r="E19" s="7" t="s">
        <v>370</v>
      </c>
      <c r="F19" s="7"/>
      <c r="G19" s="8"/>
      <c r="H19" s="7" t="s">
        <v>812</v>
      </c>
      <c r="I19" s="7"/>
      <c r="J19" s="7"/>
      <c r="K19" s="7"/>
      <c r="L19" s="8"/>
    </row>
    <row r="20" spans="1:12" ht="35.1" customHeight="1">
      <c r="A20" s="41" t="s">
        <v>70</v>
      </c>
      <c r="B20" s="13" t="str">
        <f>VLOOKUP(T_Formacion[[#This Row],[Módulo]],T_Asignaciones[[ID]:[Capacidad B1]],2,FALSE)</f>
        <v>PDD y necesidades de distribución</v>
      </c>
      <c r="C20" s="13" t="s">
        <v>811</v>
      </c>
      <c r="D20" s="7"/>
      <c r="E20" s="7" t="s">
        <v>387</v>
      </c>
      <c r="F20" s="7"/>
      <c r="G20" s="8"/>
      <c r="H20" s="7" t="s">
        <v>812</v>
      </c>
      <c r="I20" s="7"/>
      <c r="J20" s="7"/>
      <c r="K20" s="7"/>
      <c r="L20" s="8"/>
    </row>
    <row r="21" spans="1:12" ht="35.1" customHeight="1">
      <c r="A21" s="42" t="s">
        <v>70</v>
      </c>
      <c r="B21" s="16" t="str">
        <f>VLOOKUP(T_Formacion[[#This Row],[Módulo]],T_Asignaciones[[ID]:[Capacidad B1]],2,FALSE)</f>
        <v>PDD y necesidades de distribución</v>
      </c>
      <c r="C21" s="16" t="s">
        <v>813</v>
      </c>
      <c r="D21" s="7"/>
      <c r="E21" s="7" t="s">
        <v>387</v>
      </c>
      <c r="F21" s="7"/>
      <c r="G21" s="8"/>
      <c r="H21" s="7" t="s">
        <v>812</v>
      </c>
      <c r="I21" s="7"/>
      <c r="J21" s="7"/>
      <c r="K21" s="7"/>
      <c r="L21" s="8"/>
    </row>
    <row r="22" spans="1:12" ht="35.1" customHeight="1">
      <c r="A22" s="41" t="s">
        <v>74</v>
      </c>
      <c r="B22" s="13" t="str">
        <f>VLOOKUP(T_Formacion[[#This Row],[Módulo]],T_Asignaciones[[ID]:[Capacidad B1]],2,FALSE)</f>
        <v>Transferencias y distribución con Valkimia</v>
      </c>
      <c r="C22" s="13" t="s">
        <v>811</v>
      </c>
      <c r="D22" s="7"/>
      <c r="E22" s="7" t="s">
        <v>404</v>
      </c>
      <c r="F22" s="7"/>
      <c r="G22" s="8"/>
      <c r="H22" s="7" t="s">
        <v>812</v>
      </c>
      <c r="I22" s="7"/>
      <c r="J22" s="7"/>
      <c r="K22" s="7"/>
      <c r="L22" s="8"/>
    </row>
    <row r="23" spans="1:12" ht="35.1" customHeight="1">
      <c r="A23" s="42" t="s">
        <v>74</v>
      </c>
      <c r="B23" s="16" t="str">
        <f>VLOOKUP(T_Formacion[[#This Row],[Módulo]],T_Asignaciones[[ID]:[Capacidad B1]],2,FALSE)</f>
        <v>Transferencias y distribución con Valkimia</v>
      </c>
      <c r="C23" s="16" t="s">
        <v>813</v>
      </c>
      <c r="D23" s="7"/>
      <c r="E23" s="7" t="s">
        <v>404</v>
      </c>
      <c r="F23" s="7"/>
      <c r="G23" s="8"/>
      <c r="H23" s="7" t="s">
        <v>812</v>
      </c>
      <c r="I23" s="7"/>
      <c r="J23" s="7"/>
      <c r="K23" s="7"/>
      <c r="L23" s="8"/>
    </row>
    <row r="24" spans="1:12" ht="35.1" customHeight="1">
      <c r="A24" s="41" t="s">
        <v>78</v>
      </c>
      <c r="B24" s="13" t="str">
        <f>VLOOKUP(T_Formacion[[#This Row],[Módulo]],T_Asignaciones[[ID]:[Capacidad B1]],2,FALSE)</f>
        <v>Stock, conciliación y observabilidad</v>
      </c>
      <c r="C24" s="13" t="s">
        <v>811</v>
      </c>
      <c r="D24" s="7"/>
      <c r="E24" s="7" t="s">
        <v>420</v>
      </c>
      <c r="F24" s="7"/>
      <c r="G24" s="8"/>
      <c r="H24" s="7" t="s">
        <v>812</v>
      </c>
      <c r="I24" s="7"/>
      <c r="J24" s="7"/>
      <c r="K24" s="7"/>
      <c r="L24" s="8"/>
    </row>
    <row r="25" spans="1:12" ht="35.1" customHeight="1">
      <c r="A25" s="42" t="s">
        <v>78</v>
      </c>
      <c r="B25" s="16" t="str">
        <f>VLOOKUP(T_Formacion[[#This Row],[Módulo]],T_Asignaciones[[ID]:[Capacidad B1]],2,FALSE)</f>
        <v>Stock, conciliación y observabilidad</v>
      </c>
      <c r="C25" s="16" t="s">
        <v>813</v>
      </c>
      <c r="D25" s="7"/>
      <c r="E25" s="7" t="s">
        <v>420</v>
      </c>
      <c r="F25" s="7"/>
      <c r="G25" s="8"/>
      <c r="H25" s="7" t="s">
        <v>812</v>
      </c>
      <c r="I25" s="7"/>
      <c r="J25" s="7"/>
      <c r="K25" s="7"/>
      <c r="L25" s="8"/>
    </row>
    <row r="26" spans="1:12" ht="28.5">
      <c r="A26" s="42" t="s">
        <v>100</v>
      </c>
      <c r="B26" s="16" t="e">
        <f>VLOOKUP(T_Formacion[[#This Row],[Módulo]],T_Asignaciones[[ID]:[Capacidad B1]],2,FALSE)</f>
        <v>#N/A</v>
      </c>
      <c r="C26" s="16" t="s">
        <v>1190</v>
      </c>
      <c r="D26" s="35" t="s">
        <v>1220</v>
      </c>
      <c r="E26" s="35" t="s">
        <v>1221</v>
      </c>
      <c r="F26" s="35"/>
      <c r="G26" s="36"/>
      <c r="H26" s="35" t="s">
        <v>812</v>
      </c>
      <c r="I26" s="35"/>
      <c r="J26" s="35"/>
      <c r="K26" s="35"/>
      <c r="L26" s="36"/>
    </row>
    <row r="27" spans="1:12" ht="28.5">
      <c r="A27" s="42" t="s">
        <v>100</v>
      </c>
      <c r="B27" s="16" t="e">
        <f>VLOOKUP(T_Formacion[[#This Row],[Módulo]],T_Asignaciones[[ID]:[Capacidad B1]],2,FALSE)</f>
        <v>#N/A</v>
      </c>
      <c r="C27" s="16" t="s">
        <v>1194</v>
      </c>
      <c r="D27" s="35" t="s">
        <v>1222</v>
      </c>
      <c r="E27" s="35" t="s">
        <v>1223</v>
      </c>
      <c r="F27" s="35"/>
      <c r="G27" s="36"/>
      <c r="H27" s="35" t="s">
        <v>812</v>
      </c>
      <c r="I27" s="35"/>
      <c r="J27" s="35"/>
      <c r="K27" s="35"/>
      <c r="L27" s="36"/>
    </row>
    <row r="28" spans="1:12" ht="28.5">
      <c r="A28" s="42" t="s">
        <v>100</v>
      </c>
      <c r="B28" s="16" t="e">
        <f>VLOOKUP(T_Formacion[[#This Row],[Módulo]],T_Asignaciones[[ID]:[Capacidad B1]],2,FALSE)</f>
        <v>#N/A</v>
      </c>
      <c r="C28" s="16" t="s">
        <v>175</v>
      </c>
      <c r="D28" s="35" t="s">
        <v>1224</v>
      </c>
      <c r="E28" s="35" t="s">
        <v>1225</v>
      </c>
      <c r="F28" s="35"/>
      <c r="G28" s="36"/>
      <c r="H28" s="35" t="s">
        <v>812</v>
      </c>
      <c r="I28" s="35"/>
      <c r="J28" s="35"/>
      <c r="K28" s="35"/>
      <c r="L28" s="36"/>
    </row>
  </sheetData>
  <mergeCells count="2">
    <mergeCell ref="A2:C2"/>
    <mergeCell ref="A3:D3"/>
  </mergeCells>
  <dataValidations count="1">
    <dataValidation type="list" sqref="H6:H28" xr:uid="{00000000-0002-0000-0700-000000000000}">
      <formula1>"No evaluado,Apto,Requiere práctica"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"/>
  <sheetViews>
    <sheetView showGridLines="0" zoomScale="115" zoomScaleNormal="115" workbookViewId="0">
      <pane xSplit="2" ySplit="5" topLeftCell="C6" activePane="bottomRight" state="frozen"/>
      <selection pane="topRight"/>
      <selection pane="bottomLeft"/>
      <selection pane="bottomRight" activeCell="D6" sqref="D6"/>
    </sheetView>
  </sheetViews>
  <sheetFormatPr baseColWidth="10" defaultColWidth="9" defaultRowHeight="14.25"/>
  <cols>
    <col min="1" max="1" width="12" customWidth="1"/>
    <col min="2" max="2" width="41.875" customWidth="1"/>
    <col min="3" max="3" width="10" customWidth="1"/>
    <col min="4" max="4" width="25.5" customWidth="1"/>
    <col min="5" max="5" width="15.125" customWidth="1"/>
    <col min="6" max="6" width="58" customWidth="1"/>
    <col min="7" max="7" width="24" customWidth="1"/>
    <col min="8" max="8" width="70" customWidth="1"/>
    <col min="9" max="9" width="28" customWidth="1"/>
    <col min="10" max="10" width="19" customWidth="1"/>
    <col min="11" max="11" width="4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814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815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25</v>
      </c>
      <c r="B5" s="4" t="s">
        <v>816</v>
      </c>
      <c r="C5" s="4" t="s">
        <v>89</v>
      </c>
      <c r="D5" s="4" t="s">
        <v>91</v>
      </c>
      <c r="E5" s="4" t="s">
        <v>93</v>
      </c>
      <c r="F5" s="4" t="s">
        <v>817</v>
      </c>
      <c r="G5" s="4" t="s">
        <v>522</v>
      </c>
      <c r="H5" s="4" t="s">
        <v>818</v>
      </c>
      <c r="I5" s="4" t="s">
        <v>819</v>
      </c>
      <c r="J5" s="4" t="s">
        <v>820</v>
      </c>
      <c r="K5" s="4" t="s">
        <v>96</v>
      </c>
    </row>
    <row r="6" spans="1:11" ht="35.1" customHeight="1">
      <c r="A6" s="5" t="s">
        <v>821</v>
      </c>
      <c r="B6" s="5" t="s">
        <v>822</v>
      </c>
      <c r="C6" s="5" t="s">
        <v>104</v>
      </c>
      <c r="D6" s="5" t="s">
        <v>823</v>
      </c>
      <c r="E6" s="7" t="s">
        <v>824</v>
      </c>
      <c r="F6" s="7" t="s">
        <v>825</v>
      </c>
      <c r="G6" s="7" t="s">
        <v>826</v>
      </c>
      <c r="H6" s="7"/>
      <c r="I6" s="7"/>
      <c r="J6" s="8"/>
      <c r="K6" s="7"/>
    </row>
    <row r="7" spans="1:11" ht="27.95" customHeight="1">
      <c r="A7" s="6" t="s">
        <v>827</v>
      </c>
      <c r="B7" s="6" t="s">
        <v>828</v>
      </c>
      <c r="C7" s="6" t="s">
        <v>104</v>
      </c>
      <c r="D7" s="6" t="s">
        <v>829</v>
      </c>
      <c r="E7" s="7" t="s">
        <v>824</v>
      </c>
      <c r="F7" s="7" t="s">
        <v>830</v>
      </c>
      <c r="G7" s="7" t="s">
        <v>831</v>
      </c>
      <c r="H7" s="7"/>
      <c r="I7" s="7"/>
      <c r="J7" s="8"/>
      <c r="K7" s="7"/>
    </row>
    <row r="8" spans="1:11" ht="27.95" customHeight="1">
      <c r="A8" s="5" t="s">
        <v>832</v>
      </c>
      <c r="B8" s="5" t="s">
        <v>833</v>
      </c>
      <c r="C8" s="5" t="s">
        <v>104</v>
      </c>
      <c r="D8" s="5" t="s">
        <v>829</v>
      </c>
      <c r="E8" s="7" t="s">
        <v>824</v>
      </c>
      <c r="F8" s="7" t="s">
        <v>834</v>
      </c>
      <c r="G8" s="7" t="s">
        <v>831</v>
      </c>
      <c r="H8" s="7"/>
      <c r="I8" s="7"/>
      <c r="J8" s="8"/>
      <c r="K8" s="7"/>
    </row>
    <row r="9" spans="1:11" ht="27.95" customHeight="1">
      <c r="A9" s="6" t="s">
        <v>835</v>
      </c>
      <c r="B9" s="6" t="s">
        <v>836</v>
      </c>
      <c r="C9" s="6" t="s">
        <v>104</v>
      </c>
      <c r="D9" s="6" t="s">
        <v>121</v>
      </c>
      <c r="E9" s="7" t="s">
        <v>824</v>
      </c>
      <c r="F9" s="7" t="s">
        <v>1226</v>
      </c>
      <c r="G9" s="7" t="s">
        <v>1227</v>
      </c>
      <c r="H9" s="7"/>
      <c r="I9" s="7"/>
      <c r="J9" s="8"/>
      <c r="K9" s="7"/>
    </row>
    <row r="10" spans="1:11" ht="27.95" customHeight="1">
      <c r="A10" s="5" t="s">
        <v>837</v>
      </c>
      <c r="B10" s="5" t="s">
        <v>838</v>
      </c>
      <c r="C10" s="5" t="s">
        <v>104</v>
      </c>
      <c r="D10" s="5" t="s">
        <v>839</v>
      </c>
      <c r="E10" s="7" t="s">
        <v>824</v>
      </c>
      <c r="F10" s="7" t="s">
        <v>840</v>
      </c>
      <c r="G10" s="7" t="s">
        <v>841</v>
      </c>
      <c r="H10" s="7"/>
      <c r="I10" s="7"/>
      <c r="J10" s="8"/>
      <c r="K10" s="7"/>
    </row>
    <row r="11" spans="1:11" ht="35.1" customHeight="1">
      <c r="A11" s="6" t="s">
        <v>842</v>
      </c>
      <c r="B11" s="6" t="s">
        <v>843</v>
      </c>
      <c r="C11" s="6" t="s">
        <v>138</v>
      </c>
      <c r="D11" s="6" t="s">
        <v>155</v>
      </c>
      <c r="E11" s="7" t="s">
        <v>824</v>
      </c>
      <c r="F11" s="7" t="s">
        <v>844</v>
      </c>
      <c r="G11" s="7" t="s">
        <v>845</v>
      </c>
      <c r="H11" s="7"/>
      <c r="I11" s="7"/>
      <c r="J11" s="8"/>
      <c r="K11" s="7"/>
    </row>
    <row r="12" spans="1:11" ht="35.1" customHeight="1">
      <c r="A12" s="5" t="s">
        <v>846</v>
      </c>
      <c r="B12" s="5" t="s">
        <v>847</v>
      </c>
      <c r="C12" s="5" t="s">
        <v>138</v>
      </c>
      <c r="D12" s="5" t="s">
        <v>848</v>
      </c>
      <c r="E12" s="7" t="s">
        <v>824</v>
      </c>
      <c r="F12" s="7" t="s">
        <v>849</v>
      </c>
      <c r="G12" s="7" t="s">
        <v>531</v>
      </c>
      <c r="H12" s="7"/>
      <c r="I12" s="7"/>
      <c r="J12" s="8"/>
      <c r="K12" s="7"/>
    </row>
    <row r="13" spans="1:11" ht="27.95" customHeight="1">
      <c r="A13" s="6" t="s">
        <v>850</v>
      </c>
      <c r="B13" s="6" t="s">
        <v>851</v>
      </c>
      <c r="C13" s="6" t="s">
        <v>104</v>
      </c>
      <c r="D13" s="6" t="s">
        <v>829</v>
      </c>
      <c r="E13" s="7" t="s">
        <v>824</v>
      </c>
      <c r="F13" s="7" t="s">
        <v>852</v>
      </c>
      <c r="G13" s="7" t="s">
        <v>841</v>
      </c>
      <c r="H13" s="7"/>
      <c r="I13" s="7"/>
      <c r="J13" s="8"/>
      <c r="K13" s="7"/>
    </row>
    <row r="14" spans="1:11" ht="27.95" customHeight="1">
      <c r="A14" s="5" t="s">
        <v>853</v>
      </c>
      <c r="B14" s="5" t="s">
        <v>854</v>
      </c>
      <c r="C14" s="5" t="s">
        <v>104</v>
      </c>
      <c r="D14" s="5" t="s">
        <v>165</v>
      </c>
      <c r="E14" s="7" t="s">
        <v>824</v>
      </c>
      <c r="F14" s="7" t="s">
        <v>855</v>
      </c>
      <c r="G14" s="7" t="s">
        <v>841</v>
      </c>
      <c r="H14" s="7"/>
      <c r="I14" s="7"/>
      <c r="J14" s="8"/>
      <c r="K14" s="7"/>
    </row>
    <row r="15" spans="1:11" ht="35.1" customHeight="1">
      <c r="A15" s="6" t="s">
        <v>856</v>
      </c>
      <c r="B15" s="6" t="s">
        <v>857</v>
      </c>
      <c r="C15" s="6" t="s">
        <v>138</v>
      </c>
      <c r="D15" s="6" t="s">
        <v>839</v>
      </c>
      <c r="E15" s="7" t="s">
        <v>824</v>
      </c>
      <c r="F15" s="7" t="s">
        <v>858</v>
      </c>
      <c r="G15" s="7" t="s">
        <v>859</v>
      </c>
      <c r="H15" s="7"/>
      <c r="I15" s="7"/>
      <c r="J15" s="8"/>
      <c r="K15" s="7"/>
    </row>
    <row r="16" spans="1:11" ht="35.1" customHeight="1">
      <c r="A16" s="5" t="s">
        <v>860</v>
      </c>
      <c r="B16" s="5" t="s">
        <v>861</v>
      </c>
      <c r="C16" s="5" t="s">
        <v>144</v>
      </c>
      <c r="D16" s="5" t="s">
        <v>862</v>
      </c>
      <c r="E16" s="7" t="s">
        <v>824</v>
      </c>
      <c r="F16" s="7" t="s">
        <v>863</v>
      </c>
      <c r="G16" s="7" t="s">
        <v>574</v>
      </c>
      <c r="H16" s="7"/>
      <c r="I16" s="7"/>
      <c r="J16" s="8"/>
      <c r="K16" s="7"/>
    </row>
    <row r="17" spans="1:11" ht="35.1" customHeight="1">
      <c r="A17" s="6" t="s">
        <v>864</v>
      </c>
      <c r="B17" s="6" t="s">
        <v>865</v>
      </c>
      <c r="C17" s="6" t="s">
        <v>111</v>
      </c>
      <c r="D17" s="6" t="s">
        <v>866</v>
      </c>
      <c r="E17" s="7" t="s">
        <v>824</v>
      </c>
      <c r="F17" s="7" t="s">
        <v>867</v>
      </c>
      <c r="G17" s="7" t="s">
        <v>868</v>
      </c>
      <c r="H17" s="7"/>
      <c r="I17" s="7"/>
      <c r="J17" s="8"/>
      <c r="K17" s="7"/>
    </row>
    <row r="18" spans="1:11" ht="35.1" customHeight="1">
      <c r="A18" s="5" t="s">
        <v>869</v>
      </c>
      <c r="B18" s="5" t="s">
        <v>870</v>
      </c>
      <c r="C18" s="5" t="s">
        <v>138</v>
      </c>
      <c r="D18" s="5" t="s">
        <v>871</v>
      </c>
      <c r="E18" s="7" t="s">
        <v>824</v>
      </c>
      <c r="F18" s="7" t="s">
        <v>872</v>
      </c>
      <c r="G18" s="7" t="s">
        <v>873</v>
      </c>
      <c r="H18" s="7"/>
      <c r="I18" s="7"/>
      <c r="J18" s="8"/>
      <c r="K18" s="7"/>
    </row>
    <row r="19" spans="1:11" ht="25.5">
      <c r="A19" s="5" t="s">
        <v>1228</v>
      </c>
      <c r="B19" s="5" t="s">
        <v>1229</v>
      </c>
      <c r="C19" s="5" t="s">
        <v>103</v>
      </c>
      <c r="D19" s="5" t="s">
        <v>1230</v>
      </c>
      <c r="E19" s="7" t="s">
        <v>824</v>
      </c>
      <c r="F19" s="7" t="s">
        <v>1231</v>
      </c>
      <c r="G19" s="7" t="s">
        <v>1232</v>
      </c>
      <c r="H19" s="35"/>
      <c r="I19" s="35"/>
      <c r="J19" s="36"/>
      <c r="K19" s="35"/>
    </row>
  </sheetData>
  <dataValidations count="1">
    <dataValidation type="list" sqref="E6:E18" xr:uid="{00000000-0002-0000-0800-000000000000}">
      <formula1>"Sin decidir,En análisis,Resuelto"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"/>
  <sheetViews>
    <sheetView showGridLines="0" zoomScale="130" zoomScaleNormal="13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9.25" customWidth="1"/>
    <col min="2" max="2" width="18.375" customWidth="1"/>
    <col min="3" max="3" width="56.125" customWidth="1"/>
    <col min="4" max="4" width="10" customWidth="1"/>
    <col min="5" max="5" width="35.375" customWidth="1"/>
    <col min="6" max="6" width="30" customWidth="1"/>
    <col min="7" max="8" width="20" customWidth="1"/>
    <col min="9" max="9" width="28" customWidth="1"/>
    <col min="10" max="10" width="18" customWidth="1"/>
    <col min="11" max="11" width="6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874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875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876</v>
      </c>
      <c r="B5" s="4" t="s">
        <v>807</v>
      </c>
      <c r="C5" s="4" t="s">
        <v>877</v>
      </c>
      <c r="D5" s="4" t="s">
        <v>89</v>
      </c>
      <c r="E5" s="4" t="s">
        <v>878</v>
      </c>
      <c r="F5" s="4" t="s">
        <v>879</v>
      </c>
      <c r="G5" s="4" t="s">
        <v>593</v>
      </c>
      <c r="H5" s="4" t="s">
        <v>880</v>
      </c>
      <c r="I5" s="4" t="s">
        <v>819</v>
      </c>
      <c r="J5" s="4" t="s">
        <v>525</v>
      </c>
      <c r="K5" s="4" t="s">
        <v>881</v>
      </c>
    </row>
    <row r="6" spans="1:11" ht="50.1" customHeight="1">
      <c r="A6" s="5" t="s">
        <v>882</v>
      </c>
      <c r="B6" s="5" t="s">
        <v>883</v>
      </c>
      <c r="C6" s="5" t="s">
        <v>1233</v>
      </c>
      <c r="D6" s="5" t="s">
        <v>104</v>
      </c>
      <c r="E6" s="5" t="s">
        <v>884</v>
      </c>
      <c r="F6" s="7"/>
      <c r="G6" s="7"/>
      <c r="H6" s="7" t="s">
        <v>529</v>
      </c>
      <c r="I6" s="7"/>
      <c r="J6" s="8"/>
      <c r="K6" s="7"/>
    </row>
    <row r="7" spans="1:11" ht="35.1" customHeight="1">
      <c r="A7" s="6" t="s">
        <v>885</v>
      </c>
      <c r="B7" s="6" t="s">
        <v>886</v>
      </c>
      <c r="C7" s="6" t="s">
        <v>887</v>
      </c>
      <c r="D7" s="6" t="s">
        <v>138</v>
      </c>
      <c r="E7" s="6" t="s">
        <v>888</v>
      </c>
      <c r="F7" s="7"/>
      <c r="G7" s="7"/>
      <c r="H7" s="7" t="s">
        <v>529</v>
      </c>
      <c r="I7" s="7"/>
      <c r="J7" s="8"/>
      <c r="K7" s="7"/>
    </row>
    <row r="8" spans="1:11" ht="35.1" customHeight="1">
      <c r="A8" s="5" t="s">
        <v>889</v>
      </c>
      <c r="B8" s="5" t="s">
        <v>890</v>
      </c>
      <c r="C8" s="5" t="s">
        <v>891</v>
      </c>
      <c r="D8" s="5" t="s">
        <v>104</v>
      </c>
      <c r="E8" s="5" t="s">
        <v>892</v>
      </c>
      <c r="F8" s="7"/>
      <c r="G8" s="7"/>
      <c r="H8" s="7" t="s">
        <v>529</v>
      </c>
      <c r="I8" s="7"/>
      <c r="J8" s="8"/>
      <c r="K8" s="7"/>
    </row>
    <row r="9" spans="1:11" ht="35.1" customHeight="1">
      <c r="A9" s="6" t="s">
        <v>893</v>
      </c>
      <c r="B9" s="6" t="s">
        <v>894</v>
      </c>
      <c r="C9" s="6" t="s">
        <v>895</v>
      </c>
      <c r="D9" s="6" t="s">
        <v>104</v>
      </c>
      <c r="E9" s="6" t="s">
        <v>896</v>
      </c>
      <c r="F9" s="7"/>
      <c r="G9" s="7"/>
      <c r="H9" s="7" t="s">
        <v>529</v>
      </c>
      <c r="I9" s="7"/>
      <c r="J9" s="8"/>
      <c r="K9" s="7"/>
    </row>
    <row r="10" spans="1:11" ht="35.1" customHeight="1">
      <c r="A10" s="5" t="s">
        <v>897</v>
      </c>
      <c r="B10" s="5" t="s">
        <v>898</v>
      </c>
      <c r="C10" s="5" t="s">
        <v>899</v>
      </c>
      <c r="D10" s="5" t="s">
        <v>104</v>
      </c>
      <c r="E10" s="5" t="s">
        <v>900</v>
      </c>
      <c r="F10" s="7"/>
      <c r="G10" s="7"/>
      <c r="H10" s="7" t="s">
        <v>529</v>
      </c>
      <c r="I10" s="7"/>
      <c r="J10" s="8"/>
      <c r="K10" s="7"/>
    </row>
  </sheetData>
  <dataValidations count="1">
    <dataValidation type="list" sqref="H6:H10" xr:uid="{00000000-0002-0000-0900-000000000000}">
      <formula1>"Pendiente,Go,No-go"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" defaultRowHeight="14.25"/>
  <cols>
    <col min="1" max="1" width="9.875" customWidth="1"/>
    <col min="2" max="2" width="43.75" customWidth="1"/>
    <col min="3" max="4" width="14" customWidth="1"/>
    <col min="5" max="5" width="45" customWidth="1"/>
    <col min="6" max="6" width="54.875" customWidth="1"/>
    <col min="7" max="7" width="20" customWidth="1"/>
    <col min="8" max="8" width="28" customWidth="1"/>
    <col min="9" max="9" width="18" customWidth="1"/>
    <col min="10" max="10" width="20" customWidth="1"/>
    <col min="11" max="11" width="40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95" customHeight="1">
      <c r="A2" s="2" t="s">
        <v>901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100000000000001" customHeight="1">
      <c r="A3" s="3" t="s">
        <v>902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9.950000000000003" customHeight="1">
      <c r="A5" s="4" t="s">
        <v>25</v>
      </c>
      <c r="B5" s="4" t="s">
        <v>903</v>
      </c>
      <c r="C5" s="4" t="s">
        <v>904</v>
      </c>
      <c r="D5" s="4" t="s">
        <v>905</v>
      </c>
      <c r="E5" s="4" t="s">
        <v>906</v>
      </c>
      <c r="F5" s="4" t="s">
        <v>907</v>
      </c>
      <c r="G5" s="4" t="s">
        <v>908</v>
      </c>
      <c r="H5" s="4" t="s">
        <v>909</v>
      </c>
      <c r="I5" s="4" t="s">
        <v>910</v>
      </c>
      <c r="J5" s="4" t="s">
        <v>93</v>
      </c>
      <c r="K5" s="4" t="s">
        <v>96</v>
      </c>
    </row>
    <row r="6" spans="1:11" ht="27.95" customHeight="1">
      <c r="A6" s="5" t="s">
        <v>911</v>
      </c>
      <c r="B6" s="5" t="s">
        <v>912</v>
      </c>
      <c r="C6" s="5" t="s">
        <v>104</v>
      </c>
      <c r="D6" s="5" t="s">
        <v>913</v>
      </c>
      <c r="E6" s="5" t="s">
        <v>914</v>
      </c>
      <c r="F6" s="5" t="s">
        <v>915</v>
      </c>
      <c r="G6" s="5" t="s">
        <v>832</v>
      </c>
      <c r="H6" s="7"/>
      <c r="I6" s="8"/>
      <c r="J6" s="7" t="s">
        <v>916</v>
      </c>
      <c r="K6" s="7"/>
    </row>
    <row r="7" spans="1:11" ht="27.95" customHeight="1">
      <c r="A7" s="6" t="s">
        <v>917</v>
      </c>
      <c r="B7" s="6" t="s">
        <v>918</v>
      </c>
      <c r="C7" s="6" t="s">
        <v>103</v>
      </c>
      <c r="D7" s="6" t="s">
        <v>913</v>
      </c>
      <c r="E7" s="6" t="s">
        <v>919</v>
      </c>
      <c r="F7" s="6" t="s">
        <v>920</v>
      </c>
      <c r="G7" s="6" t="s">
        <v>821</v>
      </c>
      <c r="H7" s="7"/>
      <c r="I7" s="8"/>
      <c r="J7" s="7" t="s">
        <v>916</v>
      </c>
      <c r="K7" s="7"/>
    </row>
    <row r="8" spans="1:11" ht="27.95" customHeight="1">
      <c r="A8" s="5" t="s">
        <v>921</v>
      </c>
      <c r="B8" s="5" t="s">
        <v>922</v>
      </c>
      <c r="C8" s="5" t="s">
        <v>144</v>
      </c>
      <c r="D8" s="5" t="s">
        <v>913</v>
      </c>
      <c r="E8" s="5" t="s">
        <v>923</v>
      </c>
      <c r="F8" s="5" t="s">
        <v>924</v>
      </c>
      <c r="G8" s="5" t="s">
        <v>842</v>
      </c>
      <c r="H8" s="7"/>
      <c r="I8" s="8"/>
      <c r="J8" s="7" t="s">
        <v>916</v>
      </c>
      <c r="K8" s="7"/>
    </row>
    <row r="9" spans="1:11" ht="27.95" customHeight="1">
      <c r="A9" s="6" t="s">
        <v>925</v>
      </c>
      <c r="B9" s="6" t="s">
        <v>926</v>
      </c>
      <c r="C9" s="6" t="s">
        <v>111</v>
      </c>
      <c r="D9" s="6" t="s">
        <v>913</v>
      </c>
      <c r="E9" s="6" t="s">
        <v>927</v>
      </c>
      <c r="F9" s="6" t="s">
        <v>928</v>
      </c>
      <c r="G9" s="6" t="s">
        <v>835</v>
      </c>
      <c r="H9" s="7"/>
      <c r="I9" s="8"/>
      <c r="J9" s="7" t="s">
        <v>916</v>
      </c>
      <c r="K9" s="7"/>
    </row>
    <row r="10" spans="1:11" ht="27.95" customHeight="1">
      <c r="A10" s="5" t="s">
        <v>929</v>
      </c>
      <c r="B10" s="5" t="s">
        <v>930</v>
      </c>
      <c r="C10" s="5" t="s">
        <v>138</v>
      </c>
      <c r="D10" s="5" t="s">
        <v>913</v>
      </c>
      <c r="E10" s="5" t="s">
        <v>931</v>
      </c>
      <c r="F10" s="5" t="s">
        <v>932</v>
      </c>
      <c r="G10" s="5" t="s">
        <v>837</v>
      </c>
      <c r="H10" s="7"/>
      <c r="I10" s="8"/>
      <c r="J10" s="7" t="s">
        <v>916</v>
      </c>
      <c r="K10" s="7"/>
    </row>
    <row r="11" spans="1:11" ht="35.1" customHeight="1">
      <c r="A11" s="6" t="s">
        <v>933</v>
      </c>
      <c r="B11" s="6" t="s">
        <v>934</v>
      </c>
      <c r="C11" s="6" t="s">
        <v>103</v>
      </c>
      <c r="D11" s="6" t="s">
        <v>913</v>
      </c>
      <c r="E11" s="6" t="s">
        <v>935</v>
      </c>
      <c r="F11" s="6" t="s">
        <v>936</v>
      </c>
      <c r="G11" s="6" t="s">
        <v>837</v>
      </c>
      <c r="H11" s="7"/>
      <c r="I11" s="8"/>
      <c r="J11" s="7" t="s">
        <v>916</v>
      </c>
      <c r="K11" s="7"/>
    </row>
    <row r="12" spans="1:11" ht="35.1" customHeight="1">
      <c r="A12" s="5" t="s">
        <v>937</v>
      </c>
      <c r="B12" s="5" t="s">
        <v>938</v>
      </c>
      <c r="C12" s="5" t="s">
        <v>138</v>
      </c>
      <c r="D12" s="5" t="s">
        <v>913</v>
      </c>
      <c r="E12" s="5" t="s">
        <v>939</v>
      </c>
      <c r="F12" s="5" t="s">
        <v>940</v>
      </c>
      <c r="G12" s="5" t="s">
        <v>821</v>
      </c>
      <c r="H12" s="7"/>
      <c r="I12" s="8"/>
      <c r="J12" s="7" t="s">
        <v>916</v>
      </c>
      <c r="K12" s="7"/>
    </row>
    <row r="13" spans="1:11" ht="35.1" customHeight="1">
      <c r="A13" s="6" t="s">
        <v>941</v>
      </c>
      <c r="B13" s="6" t="s">
        <v>942</v>
      </c>
      <c r="C13" s="6" t="s">
        <v>104</v>
      </c>
      <c r="D13" s="6" t="s">
        <v>913</v>
      </c>
      <c r="E13" s="6" t="s">
        <v>943</v>
      </c>
      <c r="F13" s="6" t="s">
        <v>944</v>
      </c>
      <c r="G13" s="6" t="s">
        <v>842</v>
      </c>
      <c r="H13" s="7"/>
      <c r="I13" s="8"/>
      <c r="J13" s="7" t="s">
        <v>916</v>
      </c>
      <c r="K13" s="7"/>
    </row>
    <row r="14" spans="1:11" ht="27.95" customHeight="1">
      <c r="A14" s="5" t="s">
        <v>945</v>
      </c>
      <c r="B14" s="5" t="s">
        <v>946</v>
      </c>
      <c r="C14" s="5" t="s">
        <v>138</v>
      </c>
      <c r="D14" s="5" t="s">
        <v>947</v>
      </c>
      <c r="E14" s="5" t="s">
        <v>948</v>
      </c>
      <c r="F14" s="5" t="s">
        <v>949</v>
      </c>
      <c r="G14" s="5" t="s">
        <v>832</v>
      </c>
      <c r="H14" s="7"/>
      <c r="I14" s="8"/>
      <c r="J14" s="7" t="s">
        <v>916</v>
      </c>
      <c r="K14" s="7"/>
    </row>
    <row r="15" spans="1:11" ht="35.1" customHeight="1">
      <c r="A15" s="6" t="s">
        <v>950</v>
      </c>
      <c r="B15" s="6" t="s">
        <v>951</v>
      </c>
      <c r="C15" s="6" t="s">
        <v>144</v>
      </c>
      <c r="D15" s="6" t="s">
        <v>913</v>
      </c>
      <c r="E15" s="6" t="s">
        <v>952</v>
      </c>
      <c r="F15" s="6" t="s">
        <v>953</v>
      </c>
      <c r="G15" s="6" t="s">
        <v>842</v>
      </c>
      <c r="H15" s="7"/>
      <c r="I15" s="8"/>
      <c r="J15" s="7" t="s">
        <v>916</v>
      </c>
      <c r="K15" s="7"/>
    </row>
    <row r="16" spans="1:11" ht="35.1" customHeight="1">
      <c r="A16" s="5" t="s">
        <v>954</v>
      </c>
      <c r="B16" s="5" t="s">
        <v>955</v>
      </c>
      <c r="C16" s="5" t="s">
        <v>138</v>
      </c>
      <c r="D16" s="5" t="s">
        <v>913</v>
      </c>
      <c r="E16" s="5" t="s">
        <v>956</v>
      </c>
      <c r="F16" s="5" t="s">
        <v>957</v>
      </c>
      <c r="G16" s="5" t="s">
        <v>860</v>
      </c>
      <c r="H16" s="7"/>
      <c r="I16" s="8"/>
      <c r="J16" s="7" t="s">
        <v>916</v>
      </c>
      <c r="K16" s="7"/>
    </row>
    <row r="17" spans="1:11" ht="25.5">
      <c r="A17" s="5" t="s">
        <v>1234</v>
      </c>
      <c r="B17" s="5" t="s">
        <v>1235</v>
      </c>
      <c r="C17" s="5" t="s">
        <v>1190</v>
      </c>
      <c r="D17" s="5" t="s">
        <v>947</v>
      </c>
      <c r="E17" s="5" t="s">
        <v>1236</v>
      </c>
      <c r="F17" s="5" t="s">
        <v>1237</v>
      </c>
      <c r="G17" s="5" t="s">
        <v>1228</v>
      </c>
      <c r="H17" s="35"/>
      <c r="I17" s="36"/>
      <c r="J17" s="35" t="s">
        <v>916</v>
      </c>
      <c r="K17" s="35"/>
    </row>
    <row r="18" spans="1:11" ht="25.5">
      <c r="A18" s="5" t="s">
        <v>1238</v>
      </c>
      <c r="B18" s="5" t="s">
        <v>1239</v>
      </c>
      <c r="C18" s="5" t="s">
        <v>1194</v>
      </c>
      <c r="D18" s="5" t="s">
        <v>913</v>
      </c>
      <c r="E18" s="5" t="s">
        <v>1240</v>
      </c>
      <c r="F18" s="5" t="s">
        <v>1241</v>
      </c>
      <c r="G18" s="5" t="s">
        <v>835</v>
      </c>
      <c r="H18" s="35"/>
      <c r="I18" s="36"/>
      <c r="J18" s="35" t="s">
        <v>916</v>
      </c>
      <c r="K18" s="35"/>
    </row>
  </sheetData>
  <dataValidations count="1">
    <dataValidation type="list" sqref="J6:J16" xr:uid="{00000000-0002-0000-0A00-000000000000}">
      <formula1>"Abierto,En tratamiento,Cerrado"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E17" sqref="E17:F17"/>
    </sheetView>
  </sheetViews>
  <sheetFormatPr baseColWidth="10" defaultColWidth="9" defaultRowHeight="14.25"/>
  <cols>
    <col min="1" max="1" width="12" customWidth="1"/>
    <col min="2" max="2" width="32.625" customWidth="1"/>
    <col min="3" max="3" width="11.5" customWidth="1"/>
    <col min="4" max="4" width="55.5" customWidth="1"/>
    <col min="5" max="5" width="12.125" customWidth="1"/>
    <col min="6" max="6" width="12.625" customWidth="1"/>
    <col min="7" max="7" width="15.625" customWidth="1"/>
    <col min="8" max="8" width="15.25" customWidth="1"/>
    <col min="9" max="9" width="15.75" customWidth="1"/>
    <col min="10" max="10" width="53.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.95" customHeight="1">
      <c r="A2" s="2" t="s">
        <v>958</v>
      </c>
      <c r="B2" s="1"/>
      <c r="C2" s="1"/>
      <c r="D2" s="1"/>
      <c r="E2" s="1"/>
      <c r="F2" s="1"/>
      <c r="G2" s="1"/>
      <c r="H2" s="1"/>
      <c r="I2" s="1"/>
      <c r="J2" s="1"/>
    </row>
    <row r="3" spans="1:10" ht="20.100000000000001" customHeight="1">
      <c r="A3" s="3" t="s">
        <v>959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9.950000000000003" customHeight="1">
      <c r="A5" s="4" t="s">
        <v>960</v>
      </c>
      <c r="B5" s="4" t="s">
        <v>802</v>
      </c>
      <c r="C5" s="4" t="s">
        <v>961</v>
      </c>
      <c r="D5" s="4" t="s">
        <v>962</v>
      </c>
      <c r="E5" s="4" t="s">
        <v>963</v>
      </c>
      <c r="F5" s="4" t="s">
        <v>964</v>
      </c>
      <c r="G5" s="4" t="s">
        <v>965</v>
      </c>
      <c r="H5" s="4" t="s">
        <v>966</v>
      </c>
      <c r="I5" s="4" t="s">
        <v>967</v>
      </c>
      <c r="J5" s="4" t="s">
        <v>968</v>
      </c>
    </row>
    <row r="6" spans="1:10" ht="35.1" customHeight="1">
      <c r="A6" s="13" t="s">
        <v>104</v>
      </c>
      <c r="B6" s="13" t="s">
        <v>969</v>
      </c>
      <c r="C6" s="13" t="s">
        <v>970</v>
      </c>
      <c r="D6" s="13" t="s">
        <v>971</v>
      </c>
      <c r="E6" s="14">
        <v>1</v>
      </c>
      <c r="F6" s="14">
        <v>2</v>
      </c>
      <c r="G6" s="14"/>
      <c r="H6" s="15" t="str">
        <f t="shared" ref="H6:H17" si="0">IF(OR(G6="",E6=""),"n.a.",G6*E6)</f>
        <v>n.a.</v>
      </c>
      <c r="I6" s="15" t="str">
        <f t="shared" ref="I6:I17" si="1">IF(OR(G6="",F6=""),"n.a.",G6*F6)</f>
        <v>n.a.</v>
      </c>
      <c r="J6" s="13" t="s">
        <v>972</v>
      </c>
    </row>
    <row r="7" spans="1:10" ht="35.1" customHeight="1">
      <c r="A7" s="16" t="s">
        <v>111</v>
      </c>
      <c r="B7" s="16" t="s">
        <v>973</v>
      </c>
      <c r="C7" s="16" t="s">
        <v>974</v>
      </c>
      <c r="D7" s="16" t="s">
        <v>975</v>
      </c>
      <c r="E7" s="14">
        <v>12</v>
      </c>
      <c r="F7" s="14">
        <v>20</v>
      </c>
      <c r="G7" s="14"/>
      <c r="H7" s="17" t="str">
        <f t="shared" si="0"/>
        <v>n.a.</v>
      </c>
      <c r="I7" s="17" t="str">
        <f t="shared" si="1"/>
        <v>n.a.</v>
      </c>
      <c r="J7" s="16" t="s">
        <v>972</v>
      </c>
    </row>
    <row r="8" spans="1:10" ht="35.1" customHeight="1">
      <c r="A8" s="13" t="s">
        <v>138</v>
      </c>
      <c r="B8" s="13" t="s">
        <v>976</v>
      </c>
      <c r="C8" s="13" t="s">
        <v>974</v>
      </c>
      <c r="D8" s="13" t="s">
        <v>977</v>
      </c>
      <c r="E8" s="14">
        <v>2</v>
      </c>
      <c r="F8" s="14">
        <v>4</v>
      </c>
      <c r="G8" s="14"/>
      <c r="H8" s="15" t="str">
        <f t="shared" si="0"/>
        <v>n.a.</v>
      </c>
      <c r="I8" s="15" t="str">
        <f t="shared" si="1"/>
        <v>n.a.</v>
      </c>
      <c r="J8" s="13" t="s">
        <v>972</v>
      </c>
    </row>
    <row r="9" spans="1:10" ht="35.1" customHeight="1">
      <c r="A9" s="16" t="s">
        <v>137</v>
      </c>
      <c r="B9" s="16" t="s">
        <v>978</v>
      </c>
      <c r="C9" s="16" t="s">
        <v>974</v>
      </c>
      <c r="D9" s="16" t="s">
        <v>979</v>
      </c>
      <c r="E9" s="14">
        <v>6</v>
      </c>
      <c r="F9" s="14">
        <v>10</v>
      </c>
      <c r="G9" s="14"/>
      <c r="H9" s="17" t="str">
        <f t="shared" si="0"/>
        <v>n.a.</v>
      </c>
      <c r="I9" s="17" t="str">
        <f t="shared" si="1"/>
        <v>n.a.</v>
      </c>
      <c r="J9" s="16" t="s">
        <v>972</v>
      </c>
    </row>
    <row r="10" spans="1:10" ht="35.1" customHeight="1">
      <c r="A10" s="13" t="s">
        <v>980</v>
      </c>
      <c r="B10" s="13" t="s">
        <v>981</v>
      </c>
      <c r="C10" s="13" t="s">
        <v>974</v>
      </c>
      <c r="D10" s="13" t="s">
        <v>982</v>
      </c>
      <c r="E10" s="14">
        <v>3</v>
      </c>
      <c r="F10" s="14">
        <v>5</v>
      </c>
      <c r="G10" s="14"/>
      <c r="H10" s="15" t="str">
        <f t="shared" si="0"/>
        <v>n.a.</v>
      </c>
      <c r="I10" s="15" t="str">
        <f t="shared" si="1"/>
        <v>n.a.</v>
      </c>
      <c r="J10" s="13" t="s">
        <v>972</v>
      </c>
    </row>
    <row r="11" spans="1:10" ht="35.1" customHeight="1">
      <c r="A11" s="16" t="s">
        <v>469</v>
      </c>
      <c r="B11" s="16" t="s">
        <v>983</v>
      </c>
      <c r="C11" s="16" t="s">
        <v>974</v>
      </c>
      <c r="D11" s="16" t="s">
        <v>984</v>
      </c>
      <c r="E11" s="14">
        <v>2</v>
      </c>
      <c r="F11" s="14">
        <v>4</v>
      </c>
      <c r="G11" s="14"/>
      <c r="H11" s="17" t="str">
        <f t="shared" si="0"/>
        <v>n.a.</v>
      </c>
      <c r="I11" s="17" t="str">
        <f t="shared" si="1"/>
        <v>n.a.</v>
      </c>
      <c r="J11" s="16" t="s">
        <v>972</v>
      </c>
    </row>
    <row r="12" spans="1:10" ht="35.1" customHeight="1">
      <c r="A12" s="13" t="s">
        <v>170</v>
      </c>
      <c r="B12" s="13" t="s">
        <v>985</v>
      </c>
      <c r="C12" s="13" t="s">
        <v>974</v>
      </c>
      <c r="D12" s="13" t="s">
        <v>986</v>
      </c>
      <c r="E12" s="14">
        <v>4</v>
      </c>
      <c r="F12" s="14">
        <v>8</v>
      </c>
      <c r="G12" s="14"/>
      <c r="H12" s="15" t="str">
        <f t="shared" si="0"/>
        <v>n.a.</v>
      </c>
      <c r="I12" s="15" t="str">
        <f t="shared" si="1"/>
        <v>n.a.</v>
      </c>
      <c r="J12" s="13" t="s">
        <v>972</v>
      </c>
    </row>
    <row r="13" spans="1:10" ht="35.1" customHeight="1">
      <c r="A13" s="16" t="s">
        <v>144</v>
      </c>
      <c r="B13" s="16" t="s">
        <v>987</v>
      </c>
      <c r="C13" s="16" t="s">
        <v>974</v>
      </c>
      <c r="D13" s="16" t="s">
        <v>988</v>
      </c>
      <c r="E13" s="14">
        <v>4</v>
      </c>
      <c r="F13" s="14">
        <v>8</v>
      </c>
      <c r="G13" s="14"/>
      <c r="H13" s="17" t="str">
        <f t="shared" si="0"/>
        <v>n.a.</v>
      </c>
      <c r="I13" s="17" t="str">
        <f t="shared" si="1"/>
        <v>n.a.</v>
      </c>
      <c r="J13" s="16" t="s">
        <v>972</v>
      </c>
    </row>
    <row r="14" spans="1:10" ht="35.1" customHeight="1">
      <c r="A14" s="13" t="s">
        <v>103</v>
      </c>
      <c r="B14" s="13" t="s">
        <v>989</v>
      </c>
      <c r="C14" s="13" t="s">
        <v>990</v>
      </c>
      <c r="D14" s="13" t="s">
        <v>991</v>
      </c>
      <c r="E14" s="14">
        <v>12</v>
      </c>
      <c r="F14" s="14">
        <v>20</v>
      </c>
      <c r="G14" s="14"/>
      <c r="H14" s="15" t="str">
        <f t="shared" si="0"/>
        <v>n.a.</v>
      </c>
      <c r="I14" s="15" t="str">
        <f t="shared" si="1"/>
        <v>n.a.</v>
      </c>
      <c r="J14" s="13" t="s">
        <v>1242</v>
      </c>
    </row>
    <row r="15" spans="1:10" ht="35.1" customHeight="1">
      <c r="A15" s="16" t="s">
        <v>254</v>
      </c>
      <c r="B15" s="16" t="s">
        <v>992</v>
      </c>
      <c r="C15" s="16" t="s">
        <v>990</v>
      </c>
      <c r="D15" s="16" t="s">
        <v>993</v>
      </c>
      <c r="E15" s="14">
        <v>8</v>
      </c>
      <c r="F15" s="14">
        <v>16</v>
      </c>
      <c r="G15" s="14"/>
      <c r="H15" s="17" t="str">
        <f t="shared" si="0"/>
        <v>n.a.</v>
      </c>
      <c r="I15" s="17" t="str">
        <f t="shared" si="1"/>
        <v>n.a.</v>
      </c>
      <c r="J15" s="16" t="s">
        <v>972</v>
      </c>
    </row>
    <row r="16" spans="1:10" ht="35.1" customHeight="1">
      <c r="A16" s="13" t="s">
        <v>175</v>
      </c>
      <c r="B16" s="13" t="s">
        <v>994</v>
      </c>
      <c r="C16" s="13" t="s">
        <v>990</v>
      </c>
      <c r="D16" s="13" t="s">
        <v>995</v>
      </c>
      <c r="E16" s="14">
        <v>8</v>
      </c>
      <c r="F16" s="14">
        <v>16</v>
      </c>
      <c r="G16" s="14"/>
      <c r="H16" s="15" t="str">
        <f t="shared" si="0"/>
        <v>n.a.</v>
      </c>
      <c r="I16" s="15" t="str">
        <f t="shared" si="1"/>
        <v>n.a.</v>
      </c>
      <c r="J16" s="13" t="s">
        <v>1243</v>
      </c>
    </row>
    <row r="17" spans="1:10" ht="35.1" customHeight="1">
      <c r="A17" s="16" t="s">
        <v>470</v>
      </c>
      <c r="B17" s="16" t="s">
        <v>996</v>
      </c>
      <c r="C17" s="16" t="s">
        <v>997</v>
      </c>
      <c r="D17" s="16" t="s">
        <v>998</v>
      </c>
      <c r="E17" s="14">
        <v>4</v>
      </c>
      <c r="F17" s="14">
        <v>8</v>
      </c>
      <c r="G17" s="14"/>
      <c r="H17" s="17" t="str">
        <f t="shared" si="0"/>
        <v>n.a.</v>
      </c>
      <c r="I17" s="17" t="str">
        <f t="shared" si="1"/>
        <v>n.a.</v>
      </c>
      <c r="J17" s="16" t="s">
        <v>972</v>
      </c>
    </row>
    <row r="18" spans="1:10" ht="42.75">
      <c r="A18" s="16" t="s">
        <v>1194</v>
      </c>
      <c r="B18" s="16" t="s">
        <v>1244</v>
      </c>
      <c r="C18" s="16" t="s">
        <v>1245</v>
      </c>
      <c r="D18" s="16" t="s">
        <v>1246</v>
      </c>
      <c r="E18" s="14">
        <v>2</v>
      </c>
      <c r="F18" s="14">
        <v>4</v>
      </c>
      <c r="G18" s="37"/>
      <c r="H18" s="17" t="str">
        <f>IF(OR(G18="",E18=""),"n.a.",G18*E18)</f>
        <v>n.a.</v>
      </c>
      <c r="I18" s="17" t="str">
        <f>IF(OR(G18="",F18=""),"n.a.",G18*F18)</f>
        <v>n.a.</v>
      </c>
      <c r="J18" s="16" t="s">
        <v>1247</v>
      </c>
    </row>
    <row r="19" spans="1:10" ht="28.5">
      <c r="A19" s="16" t="s">
        <v>1190</v>
      </c>
      <c r="B19" s="16" t="s">
        <v>1248</v>
      </c>
      <c r="C19" s="16" t="s">
        <v>990</v>
      </c>
      <c r="D19" s="16" t="s">
        <v>1249</v>
      </c>
      <c r="E19" s="14">
        <v>8</v>
      </c>
      <c r="F19" s="14">
        <v>16</v>
      </c>
      <c r="G19" s="37"/>
      <c r="H19" s="17" t="str">
        <f>IF(OR(G19="",E19=""),"n.a.",G19*E19)</f>
        <v>n.a.</v>
      </c>
      <c r="I19" s="17" t="str">
        <f>IF(OR(G19="",F19=""),"n.a.",G19*F19)</f>
        <v>n.a.</v>
      </c>
      <c r="J19" s="16" t="s">
        <v>1250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showGridLines="0" workbookViewId="0">
      <pane ySplit="5" topLeftCell="A6" activePane="bottomLeft" state="frozen"/>
      <selection pane="bottomLeft"/>
    </sheetView>
  </sheetViews>
  <sheetFormatPr baseColWidth="10" defaultColWidth="9" defaultRowHeight="14.25"/>
  <cols>
    <col min="1" max="1" width="23.75" customWidth="1"/>
    <col min="2" max="2" width="24.875" customWidth="1"/>
    <col min="3" max="3" width="39.625" customWidth="1"/>
    <col min="4" max="4" width="27" customWidth="1"/>
    <col min="5" max="5" width="85" customWidth="1"/>
  </cols>
  <sheetData>
    <row r="1" spans="1:5">
      <c r="A1" s="1"/>
      <c r="B1" s="1"/>
      <c r="C1" s="1"/>
      <c r="D1" s="1"/>
      <c r="E1" s="1"/>
    </row>
    <row r="2" spans="1:5" ht="24.95" customHeight="1">
      <c r="A2" s="2" t="s">
        <v>999</v>
      </c>
      <c r="B2" s="1"/>
      <c r="C2" s="1"/>
      <c r="D2" s="1"/>
      <c r="E2" s="1"/>
    </row>
    <row r="3" spans="1:5" ht="20.100000000000001" customHeight="1">
      <c r="A3" s="3" t="s">
        <v>1000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39.950000000000003" customHeight="1">
      <c r="A5" s="4" t="s">
        <v>803</v>
      </c>
      <c r="B5" s="4" t="s">
        <v>1001</v>
      </c>
      <c r="C5" s="4" t="s">
        <v>1002</v>
      </c>
      <c r="D5" s="4" t="s">
        <v>93</v>
      </c>
      <c r="E5" s="4" t="s">
        <v>1003</v>
      </c>
    </row>
    <row r="6" spans="1:5" ht="27.95" customHeight="1">
      <c r="A6" s="5" t="s">
        <v>1004</v>
      </c>
      <c r="B6" s="5" t="s">
        <v>1005</v>
      </c>
      <c r="C6" s="5" t="s">
        <v>1006</v>
      </c>
      <c r="D6" s="5" t="s">
        <v>1007</v>
      </c>
      <c r="E6" s="5" t="s">
        <v>1008</v>
      </c>
    </row>
    <row r="7" spans="1:5" ht="27.95" customHeight="1">
      <c r="A7" s="6" t="s">
        <v>1009</v>
      </c>
      <c r="B7" s="6" t="s">
        <v>1010</v>
      </c>
      <c r="C7" s="6" t="s">
        <v>1011</v>
      </c>
      <c r="D7" s="6" t="s">
        <v>1007</v>
      </c>
      <c r="E7" s="6" t="s">
        <v>1012</v>
      </c>
    </row>
    <row r="8" spans="1:5" ht="27.95" customHeight="1">
      <c r="A8" s="5" t="s">
        <v>1013</v>
      </c>
      <c r="B8" s="5" t="s">
        <v>1014</v>
      </c>
      <c r="C8" s="5" t="s">
        <v>1015</v>
      </c>
      <c r="D8" s="5" t="s">
        <v>1007</v>
      </c>
      <c r="E8" s="5" t="s">
        <v>1016</v>
      </c>
    </row>
    <row r="9" spans="1:5" ht="27.95" customHeight="1">
      <c r="A9" s="25" t="s">
        <v>1017</v>
      </c>
      <c r="B9" s="25" t="s">
        <v>1018</v>
      </c>
      <c r="C9" s="25" t="s">
        <v>1019</v>
      </c>
      <c r="D9" s="25" t="s">
        <v>1007</v>
      </c>
      <c r="E9" s="25" t="s">
        <v>1020</v>
      </c>
    </row>
    <row r="10" spans="1:5" ht="27.95" customHeight="1">
      <c r="A10" s="5" t="s">
        <v>1021</v>
      </c>
      <c r="B10" s="25" t="s">
        <v>1022</v>
      </c>
      <c r="C10" s="6" t="s">
        <v>1023</v>
      </c>
      <c r="D10" s="6" t="s">
        <v>1007</v>
      </c>
      <c r="E10" s="6" t="s">
        <v>1024</v>
      </c>
    </row>
    <row r="11" spans="1:5" ht="27.95" customHeight="1">
      <c r="A11" s="5" t="s">
        <v>1025</v>
      </c>
      <c r="B11" s="25" t="s">
        <v>1026</v>
      </c>
      <c r="C11" s="6" t="s">
        <v>1027</v>
      </c>
      <c r="D11" s="6" t="s">
        <v>1007</v>
      </c>
      <c r="E11" s="26" t="s">
        <v>1028</v>
      </c>
    </row>
    <row r="12" spans="1:5" ht="27.95" customHeight="1">
      <c r="A12" s="25" t="s">
        <v>1029</v>
      </c>
      <c r="B12" s="25" t="s">
        <v>1030</v>
      </c>
      <c r="C12" s="5" t="s">
        <v>1031</v>
      </c>
      <c r="D12" s="5" t="s">
        <v>1007</v>
      </c>
      <c r="E12" s="5" t="s">
        <v>1032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showGridLines="0" workbookViewId="0">
      <pane ySplit="5" topLeftCell="A6" activePane="bottomLeft" state="frozen"/>
      <selection pane="bottomLeft" activeCell="B42" sqref="B42"/>
    </sheetView>
  </sheetViews>
  <sheetFormatPr baseColWidth="10" defaultColWidth="9" defaultRowHeight="14.25"/>
  <cols>
    <col min="1" max="1" width="7.375" customWidth="1"/>
    <col min="2" max="2" width="30.5" customWidth="1"/>
    <col min="3" max="3" width="25.375" customWidth="1"/>
    <col min="4" max="4" width="69.25" customWidth="1"/>
    <col min="5" max="5" width="59.75" customWidth="1"/>
  </cols>
  <sheetData>
    <row r="1" spans="1:5">
      <c r="A1" s="1"/>
      <c r="B1" s="1"/>
      <c r="C1" s="1"/>
      <c r="D1" s="1"/>
      <c r="E1" s="1"/>
    </row>
    <row r="2" spans="1:5" ht="24.95" customHeight="1">
      <c r="A2" s="2" t="s">
        <v>1033</v>
      </c>
      <c r="B2" s="1"/>
      <c r="C2" s="1"/>
      <c r="D2" s="1"/>
      <c r="E2" s="1"/>
    </row>
    <row r="3" spans="1:5" ht="20.100000000000001" customHeight="1">
      <c r="A3" s="3" t="s">
        <v>1034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39.950000000000003" customHeight="1">
      <c r="A5" s="4" t="s">
        <v>25</v>
      </c>
      <c r="B5" s="4" t="s">
        <v>1035</v>
      </c>
      <c r="C5" s="4" t="s">
        <v>1036</v>
      </c>
      <c r="D5" s="4" t="s">
        <v>1037</v>
      </c>
      <c r="E5" s="4" t="s">
        <v>1038</v>
      </c>
    </row>
    <row r="6" spans="1:5">
      <c r="A6" s="5" t="s">
        <v>1039</v>
      </c>
      <c r="B6" s="5" t="s">
        <v>1040</v>
      </c>
      <c r="C6" s="5" t="s">
        <v>1041</v>
      </c>
      <c r="D6" s="5" t="s">
        <v>1042</v>
      </c>
      <c r="E6" s="5" t="s">
        <v>1043</v>
      </c>
    </row>
    <row r="7" spans="1:5" ht="25.5">
      <c r="A7" s="6" t="s">
        <v>1044</v>
      </c>
      <c r="B7" s="6" t="s">
        <v>1045</v>
      </c>
      <c r="C7" s="6" t="s">
        <v>1046</v>
      </c>
      <c r="D7" s="6" t="s">
        <v>1047</v>
      </c>
      <c r="E7" s="6" t="s">
        <v>1048</v>
      </c>
    </row>
    <row r="8" spans="1:5" ht="25.5">
      <c r="A8" s="5" t="s">
        <v>1049</v>
      </c>
      <c r="B8" s="5" t="s">
        <v>1050</v>
      </c>
      <c r="C8" s="5" t="s">
        <v>1046</v>
      </c>
      <c r="D8" s="5" t="s">
        <v>1051</v>
      </c>
      <c r="E8" s="5" t="s">
        <v>1052</v>
      </c>
    </row>
    <row r="9" spans="1:5" ht="25.5">
      <c r="A9" s="6" t="s">
        <v>1053</v>
      </c>
      <c r="B9" s="6" t="s">
        <v>1054</v>
      </c>
      <c r="C9" s="6" t="s">
        <v>1055</v>
      </c>
      <c r="D9" s="6" t="s">
        <v>1056</v>
      </c>
      <c r="E9" s="6" t="s">
        <v>1057</v>
      </c>
    </row>
    <row r="10" spans="1:5">
      <c r="A10" s="5" t="s">
        <v>1058</v>
      </c>
      <c r="B10" s="5" t="s">
        <v>1059</v>
      </c>
      <c r="C10" s="5" t="s">
        <v>1060</v>
      </c>
      <c r="D10" s="5" t="s">
        <v>1061</v>
      </c>
      <c r="E10" s="5" t="s">
        <v>1062</v>
      </c>
    </row>
    <row r="11" spans="1:5" ht="25.5">
      <c r="A11" s="6" t="s">
        <v>531</v>
      </c>
      <c r="B11" s="6" t="s">
        <v>1063</v>
      </c>
      <c r="C11" s="6" t="s">
        <v>1064</v>
      </c>
      <c r="D11" s="6" t="s">
        <v>1065</v>
      </c>
      <c r="E11" s="6" t="s">
        <v>1066</v>
      </c>
    </row>
    <row r="12" spans="1:5">
      <c r="A12" s="5" t="s">
        <v>1067</v>
      </c>
      <c r="B12" s="5" t="s">
        <v>1068</v>
      </c>
      <c r="C12" s="5" t="s">
        <v>1069</v>
      </c>
      <c r="D12" s="5" t="s">
        <v>1070</v>
      </c>
      <c r="E12" s="5" t="s">
        <v>1071</v>
      </c>
    </row>
    <row r="13" spans="1:5">
      <c r="A13" s="6" t="s">
        <v>553</v>
      </c>
      <c r="B13" s="6" t="s">
        <v>1072</v>
      </c>
      <c r="C13" s="6" t="s">
        <v>1041</v>
      </c>
      <c r="D13" s="6" t="s">
        <v>1073</v>
      </c>
      <c r="E13" s="6" t="s">
        <v>1074</v>
      </c>
    </row>
    <row r="14" spans="1:5">
      <c r="A14" s="5" t="s">
        <v>841</v>
      </c>
      <c r="B14" s="5" t="s">
        <v>1075</v>
      </c>
      <c r="C14" s="5" t="s">
        <v>1041</v>
      </c>
      <c r="D14" s="5" t="s">
        <v>1076</v>
      </c>
      <c r="E14" s="5" t="s">
        <v>1077</v>
      </c>
    </row>
    <row r="15" spans="1:5" ht="25.5">
      <c r="A15" s="6" t="s">
        <v>1078</v>
      </c>
      <c r="B15" s="6" t="s">
        <v>1079</v>
      </c>
      <c r="C15" s="6" t="s">
        <v>1080</v>
      </c>
      <c r="D15" s="6" t="s">
        <v>1081</v>
      </c>
      <c r="E15" s="6" t="s">
        <v>1082</v>
      </c>
    </row>
    <row r="16" spans="1:5" ht="25.5">
      <c r="A16" s="5" t="s">
        <v>1083</v>
      </c>
      <c r="B16" s="5" t="s">
        <v>1084</v>
      </c>
      <c r="C16" s="5" t="s">
        <v>1085</v>
      </c>
      <c r="D16" s="5" t="s">
        <v>1086</v>
      </c>
      <c r="E16" s="5" t="s">
        <v>1087</v>
      </c>
    </row>
    <row r="17" spans="1:5" ht="25.5">
      <c r="A17" s="6" t="s">
        <v>1088</v>
      </c>
      <c r="B17" s="6" t="s">
        <v>1089</v>
      </c>
      <c r="C17" s="6" t="s">
        <v>1041</v>
      </c>
      <c r="D17" s="6" t="s">
        <v>1090</v>
      </c>
      <c r="E17" s="6" t="s">
        <v>1043</v>
      </c>
    </row>
    <row r="18" spans="1:5" ht="25.5">
      <c r="A18" s="5" t="s">
        <v>1091</v>
      </c>
      <c r="B18" s="5" t="s">
        <v>1092</v>
      </c>
      <c r="C18" s="5" t="s">
        <v>1041</v>
      </c>
      <c r="D18" s="5" t="s">
        <v>1093</v>
      </c>
      <c r="E18" s="5" t="s">
        <v>1043</v>
      </c>
    </row>
    <row r="19" spans="1:5" ht="25.5">
      <c r="A19" s="6" t="s">
        <v>1094</v>
      </c>
      <c r="B19" s="6" t="s">
        <v>1095</v>
      </c>
      <c r="C19" s="6" t="s">
        <v>1096</v>
      </c>
      <c r="D19" s="6" t="s">
        <v>1097</v>
      </c>
      <c r="E19" s="6" t="s">
        <v>1098</v>
      </c>
    </row>
    <row r="20" spans="1:5" ht="25.5">
      <c r="A20" s="5" t="s">
        <v>1099</v>
      </c>
      <c r="B20" s="5" t="s">
        <v>1100</v>
      </c>
      <c r="C20" s="5" t="s">
        <v>1101</v>
      </c>
      <c r="D20" s="5" t="s">
        <v>1102</v>
      </c>
      <c r="E20" s="5" t="s">
        <v>1103</v>
      </c>
    </row>
    <row r="21" spans="1:5" ht="25.5">
      <c r="A21" s="6" t="s">
        <v>1104</v>
      </c>
      <c r="B21" s="6" t="s">
        <v>1105</v>
      </c>
      <c r="C21" s="6" t="s">
        <v>1106</v>
      </c>
      <c r="D21" s="6" t="s">
        <v>1107</v>
      </c>
      <c r="E21" s="6" t="s">
        <v>1108</v>
      </c>
    </row>
    <row r="22" spans="1:5" ht="25.5">
      <c r="A22" s="5" t="s">
        <v>1109</v>
      </c>
      <c r="B22" s="5" t="s">
        <v>1110</v>
      </c>
      <c r="C22" s="5" t="s">
        <v>1111</v>
      </c>
      <c r="D22" s="5" t="s">
        <v>1112</v>
      </c>
      <c r="E22" s="5" t="s">
        <v>1113</v>
      </c>
    </row>
    <row r="23" spans="1:5" ht="25.5">
      <c r="A23" s="6" t="s">
        <v>1114</v>
      </c>
      <c r="B23" s="6" t="s">
        <v>1115</v>
      </c>
      <c r="C23" s="6" t="s">
        <v>1101</v>
      </c>
      <c r="D23" s="6" t="s">
        <v>1116</v>
      </c>
      <c r="E23" s="6" t="s">
        <v>1117</v>
      </c>
    </row>
    <row r="24" spans="1:5" ht="25.5">
      <c r="A24" s="5" t="s">
        <v>868</v>
      </c>
      <c r="B24" s="5" t="s">
        <v>1118</v>
      </c>
      <c r="C24" s="5" t="s">
        <v>1119</v>
      </c>
      <c r="D24" s="5" t="s">
        <v>1120</v>
      </c>
      <c r="E24" s="5" t="s">
        <v>1121</v>
      </c>
    </row>
    <row r="25" spans="1:5" ht="25.5">
      <c r="A25" s="6" t="s">
        <v>1122</v>
      </c>
      <c r="B25" s="6" t="s">
        <v>1123</v>
      </c>
      <c r="C25" s="6" t="s">
        <v>1119</v>
      </c>
      <c r="D25" s="6" t="s">
        <v>1124</v>
      </c>
      <c r="E25" s="6" t="s">
        <v>1125</v>
      </c>
    </row>
    <row r="26" spans="1:5">
      <c r="A26" s="5" t="s">
        <v>1126</v>
      </c>
      <c r="B26" s="5" t="s">
        <v>1127</v>
      </c>
      <c r="C26" s="5" t="s">
        <v>1106</v>
      </c>
      <c r="D26" s="5" t="s">
        <v>1128</v>
      </c>
      <c r="E26" s="5" t="s">
        <v>1129</v>
      </c>
    </row>
    <row r="27" spans="1:5" ht="25.5">
      <c r="A27" s="6" t="s">
        <v>1130</v>
      </c>
      <c r="B27" s="6" t="s">
        <v>1131</v>
      </c>
      <c r="C27" s="6" t="s">
        <v>1132</v>
      </c>
      <c r="D27" s="6" t="s">
        <v>1133</v>
      </c>
      <c r="E27" s="6" t="s">
        <v>1134</v>
      </c>
    </row>
    <row r="28" spans="1:5" ht="25.5">
      <c r="A28" s="5" t="s">
        <v>1135</v>
      </c>
      <c r="B28" s="5" t="s">
        <v>1136</v>
      </c>
      <c r="C28" s="5" t="s">
        <v>1132</v>
      </c>
      <c r="D28" s="5" t="s">
        <v>1137</v>
      </c>
      <c r="E28" s="5" t="s">
        <v>1138</v>
      </c>
    </row>
    <row r="29" spans="1:5" ht="25.5">
      <c r="A29" s="6" t="s">
        <v>1139</v>
      </c>
      <c r="B29" s="6" t="s">
        <v>1140</v>
      </c>
      <c r="C29" s="6" t="s">
        <v>1132</v>
      </c>
      <c r="D29" s="6" t="s">
        <v>1141</v>
      </c>
      <c r="E29" s="6" t="s">
        <v>1142</v>
      </c>
    </row>
    <row r="30" spans="1:5" ht="25.5">
      <c r="A30" s="5" t="s">
        <v>1143</v>
      </c>
      <c r="B30" s="5" t="s">
        <v>1144</v>
      </c>
      <c r="C30" s="5" t="s">
        <v>1145</v>
      </c>
      <c r="D30" s="5" t="s">
        <v>1146</v>
      </c>
      <c r="E30" s="5" t="s">
        <v>1147</v>
      </c>
    </row>
    <row r="31" spans="1:5" ht="25.5">
      <c r="A31" s="6" t="s">
        <v>569</v>
      </c>
      <c r="B31" s="6" t="s">
        <v>1148</v>
      </c>
      <c r="C31" s="6" t="s">
        <v>1149</v>
      </c>
      <c r="D31" s="6" t="s">
        <v>1150</v>
      </c>
      <c r="E31" s="6" t="s">
        <v>1151</v>
      </c>
    </row>
    <row r="32" spans="1:5" ht="25.5">
      <c r="A32" s="5" t="s">
        <v>1152</v>
      </c>
      <c r="B32" s="5" t="s">
        <v>1153</v>
      </c>
      <c r="C32" s="5" t="s">
        <v>1154</v>
      </c>
      <c r="D32" s="5" t="s">
        <v>1155</v>
      </c>
      <c r="E32" s="5" t="s">
        <v>1156</v>
      </c>
    </row>
    <row r="33" spans="1:5" ht="25.5">
      <c r="A33" s="6" t="s">
        <v>582</v>
      </c>
      <c r="B33" s="6" t="s">
        <v>1157</v>
      </c>
      <c r="C33" s="6" t="s">
        <v>1132</v>
      </c>
      <c r="D33" s="6" t="s">
        <v>1158</v>
      </c>
      <c r="E33" s="6" t="s">
        <v>1159</v>
      </c>
    </row>
    <row r="34" spans="1:5">
      <c r="A34" s="5" t="s">
        <v>1160</v>
      </c>
      <c r="B34" s="5" t="s">
        <v>1161</v>
      </c>
      <c r="C34" s="5" t="s">
        <v>1132</v>
      </c>
      <c r="D34" s="5" t="s">
        <v>1162</v>
      </c>
      <c r="E34" s="5" t="s">
        <v>1163</v>
      </c>
    </row>
    <row r="35" spans="1:5">
      <c r="A35" s="6" t="s">
        <v>1164</v>
      </c>
      <c r="B35" s="6" t="s">
        <v>1165</v>
      </c>
      <c r="C35" s="6" t="s">
        <v>1132</v>
      </c>
      <c r="D35" s="6" t="s">
        <v>1166</v>
      </c>
      <c r="E35" s="6" t="s">
        <v>1167</v>
      </c>
    </row>
    <row r="36" spans="1:5">
      <c r="A36" s="6" t="s">
        <v>1251</v>
      </c>
      <c r="B36" s="6" t="s">
        <v>1252</v>
      </c>
      <c r="C36" s="6" t="s">
        <v>1253</v>
      </c>
      <c r="D36" s="6" t="s">
        <v>1254</v>
      </c>
      <c r="E36" s="6" t="s">
        <v>1255</v>
      </c>
    </row>
    <row r="37" spans="1:5">
      <c r="A37" s="6" t="s">
        <v>1256</v>
      </c>
      <c r="B37" s="6" t="s">
        <v>1257</v>
      </c>
      <c r="C37" s="6" t="s">
        <v>1253</v>
      </c>
      <c r="D37" s="6" t="s">
        <v>1258</v>
      </c>
      <c r="E37" s="6" t="s">
        <v>1259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</vt:lpstr>
      <vt:lpstr>Asignaciones</vt:lpstr>
      <vt:lpstr>WBS</vt:lpstr>
      <vt:lpstr>RACI</vt:lpstr>
      <vt:lpstr>GAPS</vt:lpstr>
      <vt:lpstr>UAT</vt:lpstr>
      <vt:lpstr>OC paralelo</vt:lpstr>
      <vt:lpstr>Formacion</vt:lpstr>
      <vt:lpstr>Decisiones</vt:lpstr>
      <vt:lpstr>Gates</vt:lpstr>
      <vt:lpstr>Riesgos</vt:lpstr>
      <vt:lpstr>Capacidad</vt:lpstr>
      <vt:lpstr>Gobierno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Walter Ettlin</cp:lastModifiedBy>
  <dcterms:modified xsi:type="dcterms:W3CDTF">2026-10-30T20:32:10Z</dcterms:modified>
</cp:coreProperties>
</file>