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c874d9b1b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d6aaa1b095a4302"/>
    <x:sheet xmlns:r="http://schemas.openxmlformats.org/officeDocument/2006/relationships" name="Asignaciones" sheetId="2" r:id="R5563d39c73f0464f"/>
    <x:sheet xmlns:r="http://schemas.openxmlformats.org/officeDocument/2006/relationships" name="WBS" sheetId="3" r:id="R49329c694a68458c"/>
    <x:sheet xmlns:r="http://schemas.openxmlformats.org/officeDocument/2006/relationships" name="RACI" sheetId="4" r:id="R9bdaa1303ab84bfb"/>
    <x:sheet xmlns:r="http://schemas.openxmlformats.org/officeDocument/2006/relationships" name="GAPS" sheetId="5" r:id="Rc5152c9844c04df7"/>
    <x:sheet xmlns:r="http://schemas.openxmlformats.org/officeDocument/2006/relationships" name="UAT" sheetId="6" r:id="R58e0f29e46ee4990"/>
    <x:sheet xmlns:r="http://schemas.openxmlformats.org/officeDocument/2006/relationships" name="OC paralelo" sheetId="7" r:id="R17a18f6e5a6b4f6e"/>
    <x:sheet xmlns:r="http://schemas.openxmlformats.org/officeDocument/2006/relationships" name="Formacion" sheetId="8" r:id="Rcde9bf9080b74df7"/>
    <x:sheet xmlns:r="http://schemas.openxmlformats.org/officeDocument/2006/relationships" name="Decisiones" sheetId="9" r:id="R54ad5573483442b7"/>
    <x:sheet xmlns:r="http://schemas.openxmlformats.org/officeDocument/2006/relationships" name="Gates" sheetId="10" r:id="R14e135a33444408e"/>
    <x:sheet xmlns:r="http://schemas.openxmlformats.org/officeDocument/2006/relationships" name="Riesgos" sheetId="11" r:id="R3995cc3a5db143b6"/>
    <x:sheet xmlns:r="http://schemas.openxmlformats.org/officeDocument/2006/relationships" name="Capacidad" sheetId="12" r:id="R0b9e1c1ff41b49a6"/>
    <x:sheet xmlns:r="http://schemas.openxmlformats.org/officeDocument/2006/relationships" name="Gobierno" sheetId="13" r:id="R1c668f5328394775"/>
    <x:sheet xmlns:r="http://schemas.openxmlformats.org/officeDocument/2006/relationships" name="Fuentes" sheetId="14" r:id="R432b3a35a0d840fa"/>
  </x:sheets>
</x:workbook>
</file>

<file path=xl/sharedStrings.xml><?xml version="1.0" encoding="utf-8"?>
<x:sst xmlns:x="http://schemas.openxmlformats.org/spreadsheetml/2006/main">
  <x:si>
    <x:t xml:space="preserve">DIARCO · Implementación Bloque 1</x:t>
  </x:si>
  <x:si>
    <x:t xml:space="preserve">Objetivo vigente</x:t>
  </x:si>
  <x:si>
    <x:t xml:space="preserve">Desde 04/11: módulos productivos, smoke y paralelo</x:t>
  </x:si>
  <x:si>
    <x:t xml:space="preserve">Autoridad en paralelo</x:t>
  </x:si>
  <x:si>
    <x:t xml:space="preserve">La información DIARCO/SGM sigue siendo válida</x:t>
  </x:si>
  <x:si>
    <x:t xml:space="preserve">Estado del kit</x:t>
  </x:si>
  <x:si>
    <x:t xml:space="preserve">Propuesta. Sin ejecución ni aceptación acreditadas</x:t>
  </x:si>
  <x:si>
    <x:t xml:space="preserve">Indicador de preparación</x:t>
  </x:si>
  <x:si>
    <x:t xml:space="preserve">Cantidad</x:t>
  </x:si>
  <x:si>
    <x:t xml:space="preserve">Frentes B1 planificados</x:t>
  </x:si>
  <x:si>
    <x:t xml:space="preserve">Equipos con compromiso nominal</x:t>
  </x:si>
  <x:si>
    <x:t xml:space="preserve">Actividades WBS propuestas</x:t>
  </x:si>
  <x:si>
    <x:t xml:space="preserve">Actividades con cierre documentado</x:t>
  </x:si>
  <x:si>
    <x:t xml:space="preserve">Registros UAT/smoke</x:t>
  </x:si>
  <x:si>
    <x:t xml:space="preserve">Ejecuciones aceptadas con evidencia</x:t>
  </x:si>
  <x:si>
    <x:t xml:space="preserve">Registros RF/suplente por evaluar</x:t>
  </x:si>
  <x:si>
    <x:t xml:space="preserve">Decisiones aún sin resolver</x:t>
  </x:si>
  <x:si>
    <x:t xml:space="preserve">Próximo paso de Dirección</x:t>
  </x:si>
  <x:si>
    <x:t xml:space="preserve">Confirmar personas, horas y población del paralelo</x:t>
  </x:si>
  <x:si>
    <x:t xml:space="preserve">Uso del libro</x:t>
  </x:si>
  <x:si>
    <x:t xml:space="preserve">Amarillo = entrada humana. Fórmulas = control documental, no aprobación automática.</x:t>
  </x:si>
  <x:si>
    <x:t xml:space="preserve">UAT: conservar ejecuciones y repruebas. OC paralelo: duplicar bloque por OC/línea.</x:t>
  </x:si>
  <x:si>
    <x:t xml:space="preserve">Los indicadores iniciales muestran preparación pendiente, no porcentajes de avance histórico.</x:t>
  </x:si>
  <x:si>
    <x:t xml:space="preserve">Un gate requiere firma humana y evidencia, aunque los controles documentales estén completos.</x:t>
  </x:si>
  <x:si>
    <x:t xml:space="preserve">Equipo por capacidad</x:t>
  </x:si>
  <x:si>
    <x:t xml:space="preserve">Amarillo: completar. Los nombres de antecedentes no equivalen a una designación aceptada.</x:t>
  </x:si>
  <x:si>
    <x:t xml:space="preserve">ID</x:t>
  </x:si>
  <x:si>
    <x:t xml:space="preserve">Capacidad B1</x:t>
  </x:si>
  <x:si>
    <x:t xml:space="preserve">Bloque</x:t>
  </x:si>
  <x:si>
    <x:t xml:space="preserve">Dueño propuesto (función)</x:t>
  </x:si>
  <x:si>
    <x:t xml:space="preserve">Interlocutor de antecedentes</x:t>
  </x:si>
  <x:si>
    <x:t xml:space="preserve">Titular confirmado</x:t>
  </x:si>
  <x:si>
    <x:t xml:space="preserve">Suplente confirmado</x:t>
  </x:si>
  <x:si>
    <x:t xml:space="preserve">Jefatura que libera tiempo</x:t>
  </x:si>
  <x:si>
    <x:t xml:space="preserve">h titular/semana</x:t>
  </x:si>
  <x:si>
    <x:t xml:space="preserve">h suplente/semana</x:t>
  </x:si>
  <x:si>
    <x:t xml:space="preserve">Ventanas de agenda</x:t>
  </x:si>
  <x:si>
    <x:t xml:space="preserve">Compromiso</x:t>
  </x:si>
  <x:si>
    <x:t xml:space="preserve">Acepta jefatura</x:t>
  </x:si>
  <x:si>
    <x:t xml:space="preserve">Fecha aceptación</x:t>
  </x:si>
  <x:si>
    <x:t xml:space="preserve">Preparación del equipo</x:t>
  </x:si>
  <x:si>
    <x:t xml:space="preserve">Dueño nominal confirmado</x:t>
  </x:si>
  <x:si>
    <x:t xml:space="preserve">Aceptación del dueño</x:t>
  </x:si>
  <x:si>
    <x:t xml:space="preserve">M01</x:t>
  </x:si>
  <x:si>
    <x:t xml:space="preserve">Catálogo y maestros</x:t>
  </x:si>
  <x:si>
    <x:t xml:space="preserve">B1</x:t>
  </x:si>
  <x:si>
    <x:t xml:space="preserve">Dueño de Datos Maestros</x:t>
  </x:si>
  <x:si>
    <x:t xml:space="preserve">Guillermo Alvez (Auditoría); designar Administración de Datos Maestros</x:t>
  </x:si>
  <x:si>
    <x:t xml:space="preserve">Sin confirmar</x:t>
  </x:si>
  <x:si>
    <x:t xml:space="preserve">M02</x:t>
  </x:si>
  <x:si>
    <x:t xml:space="preserve">Surtido, clusters y segmentos</x:t>
  </x:si>
  <x:si>
    <x:t xml:space="preserve">Dueño de Surtido</x:t>
  </x:si>
  <x:si>
    <x:t xml:space="preserve">Liliana D'Amico (sugerida por antecedentes)</x:t>
  </x:si>
  <x:si>
    <x:t xml:space="preserve">M03</x:t>
  </x:si>
  <x:si>
    <x:t xml:space="preserve">Listas y acuerdos comerciales de compra</x:t>
  </x:si>
  <x:si>
    <x:t xml:space="preserve">Dueño de Compras</x:t>
  </x:si>
  <x:si>
    <x:t xml:space="preserve">Sebastián Basconcelos (según minuta 13/10; confirmar designación)</x:t>
  </x:si>
  <x:si>
    <x:t xml:space="preserve">M04</x:t>
  </x:si>
  <x:si>
    <x:t xml:space="preserve">Forecast y compra inteligente/directa</x:t>
  </x:si>
  <x:si>
    <x:t xml:space="preserve">Dueño de Abastecimiento</x:t>
  </x:si>
  <x:si>
    <x:t xml:space="preserve">Romina Garfi, Carolina Tavernisse(Non-Food), Camila Klipauka(Perfumeria),Marcelo Cingolani, Diego Baldi(Perecederos), Paloma Romero (Barrio)</x:t>
  </x:si>
  <x:si>
    <x:t xml:space="preserve">M05</x:t>
  </x:si>
  <x:si>
    <x:t xml:space="preserve">Órdenes de compra e integración SGM</x:t>
  </x:si>
  <x:si>
    <x:t xml:space="preserve">M06</x:t>
  </x:si>
  <x:si>
    <x:t xml:space="preserve">Recepción en sucursal y convivencia SGM</x:t>
  </x:si>
  <x:si>
    <x:t xml:space="preserve">Dueño de Operaciones de Sucursal</x:t>
  </x:si>
  <x:si>
    <x:t xml:space="preserve">Fernando Ureña / Cecilia Camus / Javier Dafonte / Rodolfo Herlein (elegir titular)</x:t>
  </x:si>
  <x:si>
    <x:t xml:space="preserve">M07</x:t>
  </x:si>
  <x:si>
    <x:t xml:space="preserve">Inventarios y ajustes</x:t>
  </x:si>
  <x:si>
    <x:t xml:space="preserve">Dueño de Control de Inventarios</x:t>
  </x:si>
  <x:si>
    <x:t xml:space="preserve">Guillermo Alvez /Javier Dafonte</x:t>
  </x:si>
  <x:si>
    <x:t xml:space="preserve">M08</x:t>
  </x:si>
  <x:si>
    <x:t xml:space="preserve">PDD y necesidades de distribución</x:t>
  </x:si>
  <x:si>
    <x:t xml:space="preserve">Dueño de Planificación Logística</x:t>
  </x:si>
  <x:si>
    <x:t xml:space="preserve">Christian Rojas (logistica)/ Liliana D'Amico, Carolina Tavernisse ( Compras)</x:t>
  </x:si>
  <x:si>
    <x:t xml:space="preserve">M09</x:t>
  </x:si>
  <x:si>
    <x:t xml:space="preserve">Transferencias y distribución con Valkimia</x:t>
  </x:si>
  <x:si>
    <x:t xml:space="preserve">Dueño de Distribución</x:t>
  </x:si>
  <x:si>
    <x:t xml:space="preserve">Christian Rojas / Gastón (Logística), enlace Comercial a designar</x:t>
  </x:si>
  <x:si>
    <x:t xml:space="preserve">M10</x:t>
  </x:si>
  <x:si>
    <x:t xml:space="preserve">Stock, conciliación y observabilidad</x:t>
  </x:si>
  <x:si>
    <x:t xml:space="preserve">Dueño de Operación y Control de Stock</x:t>
  </x:si>
  <x:si>
    <x:t xml:space="preserve">IT + Control de Stock Hernan López Lider SGM DIARCO)</x:t>
  </x:si>
  <x:si>
    <x:t xml:space="preserve">Plan de ejecución del Bloque 1</x:t>
  </x:si>
  <x:si>
    <x:t xml:space="preserve">Filtrar por módulo/oleada. Fechas propuestas, sin ejecución acreditada. G1/G2 se instancian por población seleccionada.</x:t>
  </x:si>
  <x:si>
    <x:t xml:space="preserve">WBS</x:t>
  </x:si>
  <x:si>
    <x:t xml:space="preserve">Módulo</x:t>
  </x:si>
  <x:si>
    <x:t xml:space="preserve">Actividad</x:t>
  </x:si>
  <x:si>
    <x:t xml:space="preserve">Entregable / acción concreta</x:t>
  </x:si>
  <x:si>
    <x:t xml:space="preserve">R</x:t>
  </x:si>
  <x:si>
    <x:t xml:space="preserve">A</x:t>
  </x:si>
  <x:si>
    <x:t xml:space="preserve">Predecesoras</x:t>
  </x:si>
  <x:si>
    <x:t xml:space="preserve">Ventana propuesta</x:t>
  </x:si>
  <x:si>
    <x:t xml:space="preserve">Criterio de cierre</x:t>
  </x:si>
  <x:si>
    <x:t xml:space="preserve">Estado</x:t>
  </x:si>
  <x:si>
    <x:t xml:space="preserve">Nombre ejecutor R</x:t>
  </x:si>
  <x:si>
    <x:t xml:space="preserve">Fecha objetivo</x:t>
  </x:si>
  <x:si>
    <x:t xml:space="preserve">Evidencia</x:t>
  </x:si>
  <x:si>
    <x:t xml:space="preserve">Aceptado por</x:t>
  </x:si>
  <x:si>
    <x:t xml:space="preserve">Control de cierre</x:t>
  </x:si>
  <x:si>
    <x:t xml:space="preserve">1.01</x:t>
  </x:si>
  <x:si>
    <x:t xml:space="preserve">TRANSVERSAL</x:t>
  </x:si>
  <x:si>
    <x:t xml:space="preserve">Conciliar alcance y GAPS</x:t>
  </x:si>
  <x:si>
    <x:t xml:space="preserve">Baseline por capacidad con B1/B2/B3/pendiente, motivo y fuente</x:t>
  </x:si>
  <x:si>
    <x:t xml:space="preserve">LZ</x:t>
  </x:si>
  <x:si>
    <x:t xml:space="preserve">SP</x:t>
  </x:si>
  <x:si>
    <x:t xml:space="preserve">Preparación / G0</x:t>
  </x:si>
  <x:si>
    <x:t xml:space="preserve">Cada capacidad tiene decisión o bloqueo explícito. No se interpreta silencio como aprobación.</x:t>
  </x:si>
  <x:si>
    <x:t xml:space="preserve">Propuesto</x:t>
  </x:si>
  <x:si>
    <x:t xml:space="preserve">1.02</x:t>
  </x:si>
  <x:si>
    <x:t xml:space="preserve">Nombrar sponsor y líder DIARCO</x:t>
  </x:si>
  <x:si>
    <x:t xml:space="preserve">Acta con nombres, facultades y suplencias</x:t>
  </x:si>
  <x:si>
    <x:t xml:space="preserve">LD</x:t>
  </x:si>
  <x:si>
    <x:t xml:space="preserve">Lunes 02/11 propuesto</x:t>
  </x:si>
  <x:si>
    <x:t xml:space="preserve">Designaciones aceptadas por personas y jefaturas.</x:t>
  </x:si>
  <x:si>
    <x:t xml:space="preserve">1.03</x:t>
  </x:si>
  <x:si>
    <x:t xml:space="preserve">Asignar titulares y suplentes por módulo</x:t>
  </x:si>
  <x:si>
    <x:t xml:space="preserve">Fichas nominales y tiempo protegido</x:t>
  </x:si>
  <x:si>
    <x:t xml:space="preserve">Cada módulo B1 tiene dueño, referente, suplente y horas autorizadas.</x:t>
  </x:si>
  <x:si>
    <x:t xml:space="preserve">1.04</x:t>
  </x:si>
  <x:si>
    <x:t xml:space="preserve">Incorporar mesa de ayuda, IT y terceros</x:t>
  </x:si>
  <x:si>
    <x:t xml:space="preserve">Mapa de servicios, contactos, horario y escalamiento</x:t>
  </x:si>
  <x:si>
    <x:t xml:space="preserve">Semana 1</x:t>
  </x:si>
  <x:si>
    <x:t xml:space="preserve">Responsables y suplentes aceptan cobertura y simulacro.</x:t>
  </x:si>
  <x:si>
    <x:t xml:space="preserve">1.05</x:t>
  </x:si>
  <x:si>
    <x:t xml:space="preserve">Definir piloto, volumen y calendario</x:t>
  </x:si>
  <x:si>
    <x:t xml:space="preserve">Lista de usuarios/sitios/proveedores/casos, duración y exclusiones</x:t>
  </x:si>
  <x:si>
    <x:t xml:space="preserve">1.01;1.03;1.04</x:t>
  </x:si>
  <x:si>
    <x:t xml:space="preserve">Población, cobertura de excepciones y fechas acordadas con capacidad disponible.</x:t>
  </x:si>
  <x:si>
    <x:t xml:space="preserve">1.06</x:t>
  </x:si>
  <x:si>
    <x:t xml:space="preserve">Aprobar reglas de gobierno y G0</x:t>
  </x:si>
  <x:si>
    <x:t xml:space="preserve">Acta de inicio y decisiones abiertas</x:t>
  </x:si>
  <x:si>
    <x:t xml:space="preserve">1.01;1.02;1.03;1.04;1.05</x:t>
  </x:si>
  <x:si>
    <x:t xml:space="preserve">Semana 1 / G0</x:t>
  </x:si>
  <x:si>
    <x:t xml:space="preserve">Alcance, personas, capacidad, piloto y canal de decisiones registrados.</x:t>
  </x:si>
  <x:si>
    <x:t xml:space="preserve">2.01</x:t>
  </x:si>
  <x:si>
    <x:t xml:space="preserve">Relevar proceso actual y futuro</x:t>
  </x:si>
  <x:si>
    <x:t xml:space="preserve">Mapa extremo a extremo con cambios por rol</x:t>
  </x:si>
  <x:si>
    <x:t xml:space="preserve">RF</x:t>
  </x:si>
  <x:si>
    <x:t xml:space="preserve">DP</x:t>
  </x:si>
  <x:si>
    <x:t xml:space="preserve">Antes de cada módulo</x:t>
  </x:si>
  <x:si>
    <x:t xml:space="preserve">Cada actividad, control y excepción tiene dueño.</x:t>
  </x:si>
  <x:si>
    <x:t xml:space="preserve">2.02</x:t>
  </x:si>
  <x:si>
    <x:t xml:space="preserve">Acordar maestría y convivencia SGM</x:t>
  </x:si>
  <x:si>
    <x:t xml:space="preserve">Matriz entidad/operación/sistema autorizado por etapa</x:t>
  </x:si>
  <x:si>
    <x:t xml:space="preserve">IT</x:t>
  </x:si>
  <x:si>
    <x:t xml:space="preserve">Un solo escritor autorizado por entidad y etapa. Emisor al proveedor definido.</x:t>
  </x:si>
  <x:si>
    <x:t xml:space="preserve">2.03</x:t>
  </x:si>
  <x:si>
    <x:t xml:space="preserve">Preparar ambientes, roles y accesos</x:t>
  </x:si>
  <x:si>
    <x:t xml:space="preserve">Accesos probados con segregación y versión identificada</x:t>
  </x:si>
  <x:si>
    <x:t xml:space="preserve">Semana 1 y antes de cada prueba</x:t>
  </x:si>
  <x:si>
    <x:t xml:space="preserve">Usuarios entran y permisos positivos/negativos funcionan.</x:t>
  </x:si>
  <x:si>
    <x:t xml:space="preserve">2.04</x:t>
  </x:si>
  <x:si>
    <x:t xml:space="preserve">Fijar datos y resultados esperados</x:t>
  </x:si>
  <x:si>
    <x:t xml:space="preserve">Dataset versionado y casos dorados aprobados</x:t>
  </x:si>
  <x:si>
    <x:t xml:space="preserve">2.01;2.02;2.03</x:t>
  </x:si>
  <x:si>
    <x:t xml:space="preserve">Antes de UAT</x:t>
  </x:si>
  <x:si>
    <x:t xml:space="preserve">Cantidad/valor/regla esperados definidos por negocio, no sólo por el sistema.</x:t>
  </x:si>
  <x:si>
    <x:t xml:space="preserve">2.05</x:t>
  </x:si>
  <x:si>
    <x:t xml:space="preserve">Configurar trazabilidad de pruebas y tickets</x:t>
  </x:si>
  <x:si>
    <x:t xml:space="preserve">Repositorio, IDs y enlaces comunes</x:t>
  </x:si>
  <x:si>
    <x:t xml:space="preserve">Un GAP se vincula a WBS, caso, defecto, evidencia y decisión.</x:t>
  </x:si>
  <x:si>
    <x:t xml:space="preserve">2.06</x:t>
  </x:si>
  <x:si>
    <x:t xml:space="preserve">Acordar contingencia y recuperación</x:t>
  </x:si>
  <x:si>
    <x:t xml:space="preserve">Runbook de corte/retorno y conciliación documental</x:t>
  </x:si>
  <x:si>
    <x:t xml:space="preserve">2.02;2.03</x:t>
  </x:si>
  <x:si>
    <x:t xml:space="preserve">Antes del piloto</x:t>
  </x:si>
  <x:si>
    <x:t xml:space="preserve">Procedimiento practicable sin duplicar operaciones ni borrar historia.</x:t>
  </x:si>
  <x:si>
    <x:t xml:space="preserve">2.07</x:t>
  </x:si>
  <x:si>
    <x:t xml:space="preserve">Acordar cobertura y objetivos de soporte</x:t>
  </x:si>
  <x:si>
    <x:t xml:space="preserve">Acuerdo horario, prioridades y objetivos de atención</x:t>
  </x:si>
  <x:si>
    <x:t xml:space="preserve">MD</x:t>
  </x:si>
  <x:si>
    <x:t xml:space="preserve">DIARCO y Zeetrex validan ventanas, contactos y objetivos. No hay SLA implícito.</x:t>
  </x:si>
  <x:si>
    <x:t xml:space="preserve">2.08</x:t>
  </x:si>
  <x:si>
    <x:t xml:space="preserve">Preparar módulos productivos para paralelo 04/11</x:t>
  </x:si>
  <x:si>
    <x:t xml:space="preserve">Versión, ambiente, accesos y controles de efectos externos</x:t>
  </x:si>
  <x:si>
    <x:t xml:space="preserve">ZT</x:t>
  </x:si>
  <x:si>
    <x:t xml:space="preserve">2.02;2.03;2.05;2.06</x:t>
  </x:si>
  <x:si>
    <x:t xml:space="preserve">Objetivo 04/11</x:t>
  </x:si>
  <x:si>
    <x:t xml:space="preserve">Lista explícita de módulos habilitados. SGM válido. Emisor único y permisos de prueba controlados.</x:t>
  </x:si>
  <x:si>
    <x:t xml:space="preserve">2.09</x:t>
  </x:si>
  <x:si>
    <x:t xml:space="preserve">Ejecutar smoke de flujo de trabajo</x:t>
  </x:si>
  <x:si>
    <x:t xml:space="preserve">Evidencia de acceso, navegación, dato, cálculo y acuse del flujo mínimo</x:t>
  </x:si>
  <x:si>
    <x:t xml:space="preserve">Desde 04/11 antes de cada paralelo</x:t>
  </x:si>
  <x:si>
    <x:t xml:space="preserve">Flujo mínimo pasa sin duplicar efectos ni envíos. Si falla, no abrir ese circuito al paralelo.</x:t>
  </x:si>
  <x:si>
    <x:t xml:space="preserve">2.10</x:t>
  </x:si>
  <x:si>
    <x:t xml:space="preserve">Comparar OC valorizada Connexa vs DIARCO/SGM</x:t>
  </x:si>
  <x:si>
    <x:t xml:space="preserve">Matriz campo a campo, cálculo esperado y diferencias con causa</x:t>
  </x:si>
  <x:si>
    <x:t xml:space="preserve">2.09;3.05.04</x:t>
  </x:si>
  <x:si>
    <x:t xml:space="preserve">Desde 04/11, cada ciclo</x:t>
  </x:si>
  <x:si>
    <x:t xml:space="preserve">Identificadores vinculados, cantidades y componentes conciliados. Desvíos fuera de tolerancia bloquean aceptación.</x:t>
  </x:si>
  <x:si>
    <x:t xml:space="preserve">2.11</x:t>
  </x:si>
  <x:si>
    <x:t xml:space="preserve">Decidir aceptación progresiva del paralelo</x:t>
  </x:si>
  <x:si>
    <x:t xml:space="preserve">Acta por módulo/población/versión, pendientes y decisión de continuar</x:t>
  </x:si>
  <x:si>
    <x:t xml:space="preserve">Desde 04/11 al cumplir criterios</x:t>
  </x:si>
  <x:si>
    <x:t xml:space="preserve">Casos críticos y ciclos requeridos completos. Firmas/evidencias. No cambia autoridad SGM por sí sola.</x:t>
  </x:si>
  <x:si>
    <x:t xml:space="preserve">2.12</x:t>
  </x:si>
  <x:si>
    <x:t xml:space="preserve">Confirmar AP, Wi-Fi y PDA por sucursal piloto</x:t>
  </x:si>
  <x:si>
    <x:t xml:space="preserve">Inventario de equipos, red probada y responsable de disponibilidad</x:t>
  </x:si>
  <x:si>
    <x:t xml:space="preserve">1.05;2.03</x:t>
  </x:si>
  <x:si>
    <x:t xml:space="preserve">Antes del paralelo PDA</x:t>
  </x:si>
  <x:si>
    <x:t xml:space="preserve">Recepción con lectura y comunicación probadas. Contacto histórico Jorge Borjas a confirmar, proveedor e Infra coordinados.</x:t>
  </x:si>
  <x:si>
    <x:t xml:space="preserve">2.13</x:t>
  </x:si>
  <x:si>
    <x:t xml:space="preserve">Verificar devolución Valkimia y elegir API/Excel</x:t>
  </x:si>
  <x:si>
    <x:t xml:space="preserve">Contrato mínimo/plantilla validada, plazo y responsable externo</x:t>
  </x:si>
  <x:si>
    <x:t xml:space="preserve">1.04;2.02</x:t>
  </x:si>
  <x:si>
    <x:t xml:space="preserve">Antes del paralelo de distribución</x:t>
  </x:si>
  <x:si>
    <x:t xml:space="preserve">No se presume cumplido el compromiso 27/10. Alternativa elegida y prueba de ida/retorno con CD/VKM.</x:t>
  </x:si>
  <x:si>
    <x:t xml:space="preserve">2.14</x:t>
  </x:si>
  <x:si>
    <x:t xml:space="preserve">Validar OC madre, hija y aprobación única</x:t>
  </x:si>
  <x:si>
    <x:t xml:space="preserve">Caso PDA y política de vigencia/saldo con evidencia</x:t>
  </x:si>
  <x:si>
    <x:t xml:space="preserve">2.04;3.05.04;2.12</x:t>
  </x:si>
  <x:si>
    <x:t xml:space="preserve">Durante paralelo del circuito</x:t>
  </x:si>
  <x:si>
    <x:t xml:space="preserve">Cantidades, valorización y pendientes conciliados. Sin reaprobar en SGM ni duplicar documento.</x:t>
  </x:si>
  <x:si>
    <x:t xml:space="preserve">2.15</x:t>
  </x:si>
  <x:si>
    <x:t xml:space="preserve">Acreditar recuperación y cierre de movimientos en SGM</x:t>
  </x:si>
  <x:si>
    <x:t xml:space="preserve">Evidencia de autorización, procesamiento, remito y numeración</x:t>
  </x:si>
  <x:si>
    <x:t xml:space="preserve">2.03;2.05</x:t>
  </x:si>
  <x:si>
    <x:t xml:space="preserve">Antes del paralelo de recepción/ajustes</x:t>
  </x:si>
  <x:si>
    <x:t xml:space="preserve">Operaciones completas en SGM, no sólo registros en tabla. Bloqueos nominales y siguiente acción.</x:t>
  </x:si>
  <x:si>
    <x:t xml:space="preserve">2.16</x:t>
  </x:si>
  <x:si>
    <x:t xml:space="preserve">Certificar base y salida de inventario</x:t>
  </x:si>
  <x:si>
    <x:t xml:space="preserve">Stock inicial, movimientos pendientes, mapa/QR y aplicación en SGM</x:t>
  </x:si>
  <x:si>
    <x:t xml:space="preserve">2.04;2.12</x:t>
  </x:si>
  <x:si>
    <x:t xml:space="preserve">Antes del inventario piloto</x:t>
  </x:si>
  <x:si>
    <x:t xml:space="preserve">Fuente oficial y corte documentados. Diferencias no se atribuyen a merma sin revisar integridad de registros.</x:t>
  </x:si>
  <x:si>
    <x:t xml:space="preserve">2.17</x:t>
  </x:si>
  <x:si>
    <x:t xml:space="preserve">Confirmar sincronización y coordinación de cargas</x:t>
  </x:si>
  <x:si>
    <x:t xml:space="preserve">Evidencia de OC/transferencias/pendientes actualizados, sin pisar datos</x:t>
  </x:si>
  <x:si>
    <x:t xml:space="preserve">Antes del paralelo de cada consumidor</x:t>
  </x:si>
  <x:si>
    <x:t xml:space="preserve">Conectividad/túnel probado y secuencia de CDC/cargas acordada. Tener servidor disponible no acredita interfaz.</x:t>
  </x:si>
  <x:si>
    <x:t xml:space="preserve">2.18</x:t>
  </x:si>
  <x:si>
    <x:t xml:space="preserve">Validar categoría piloto y propuesta de surtido</x:t>
  </x:si>
  <x:si>
    <x:t xml:space="preserve">Simulación con Liliana y resolución de clasificaciones nulas</x:t>
  </x:si>
  <x:si>
    <x:t xml:space="preserve">3.02.02</x:t>
  </x:si>
  <x:si>
    <x:t xml:space="preserve">Antes de aceptar surtido de primera oleada</x:t>
  </x:si>
  <x:si>
    <x:t xml:space="preserve">Reglas y segmentos aprobados sobre datos reales. No imponer seis segmentos sin acuerdo.</x:t>
  </x:si>
  <x:si>
    <x:t xml:space="preserve">2.19</x:t>
  </x:si>
  <x:si>
    <x:t xml:space="preserve">Definir función Datos Maestros y separación de control</x:t>
  </x:si>
  <x:si>
    <x:t xml:space="preserve">RACI de solicitante/administrador/auditor/comercial y workflow de cambios</x:t>
  </x:si>
  <x:si>
    <x:t xml:space="preserve">Antes de originar maestros en Connexa</x:t>
  </x:si>
  <x:si>
    <x:t xml:space="preserve">Función operativa y control con personas/tiempo definidos. Auditoría no asume automáticamente administración cotidiana.</x:t>
  </x:si>
  <x:si>
    <x:t xml:space="preserve">3.01.01</x:t>
  </x:si>
  <x:si>
    <x:t xml:space="preserve">Preparar casos y datos del módulo</x:t>
  </x:si>
  <x:si>
    <x:t xml:space="preserve">Inventariar altas, cambios y bajas con casos reales y excepciones de DIARCO.</x:t>
  </x:si>
  <x:si>
    <x:t xml:space="preserve">2.04;2.05</x:t>
  </x:si>
  <x:si>
    <x:t xml:space="preserve">Preparar antes del paralelo de ese módulo</x:t>
  </x:si>
  <x:si>
    <x:t xml:space="preserve">Casos representativos con entrada, esperado y responsable de dato.</x:t>
  </x:si>
  <x:si>
    <x:t xml:space="preserve">3.01.02</x:t>
  </x:si>
  <x:si>
    <x:t xml:space="preserve">Validar reglas y configuración</x:t>
  </x:si>
  <x:si>
    <x:t xml:space="preserve">Conciliar una muestra acordada de artículos, EAN y proveedor contra la fuente autorizada.</x:t>
  </x:si>
  <x:si>
    <x:t xml:space="preserve">Reglas aprobadas, configuración versionada y diferencias clasificadas.</x:t>
  </x:si>
  <x:si>
    <x:t xml:space="preserve">3.01.03</x:t>
  </x:si>
  <x:si>
    <x:t xml:space="preserve">Formar titular y suplente</x:t>
  </x:si>
  <x:si>
    <x:t xml:space="preserve">Identificadores, unidad/bulto, estados, permisos, sentido de sincronización y prevención de duplicados.</x:t>
  </x:si>
  <x:si>
    <x:t xml:space="preserve">ZF</x:t>
  </x:si>
  <x:si>
    <x:t xml:space="preserve">Titular y suplente completan demostración y práctica individual.</x:t>
  </x:si>
  <x:si>
    <x:t xml:space="preserve">3.01.04</x:t>
  </x:si>
  <x:si>
    <x:t xml:space="preserve">Ejecutar UAT y excepciones</x:t>
  </x:si>
  <x:si>
    <x:t xml:space="preserve">Definir quién modifica cada dato y cuándo se replica a SGM.</x:t>
  </x:si>
  <x:si>
    <x:t xml:space="preserve">Casos críticos pasan. Defectos y evidencia por ejecución. Reprueba después de correcciones.</x:t>
  </x:si>
  <x:si>
    <x:t xml:space="preserve">3.01.05</x:t>
  </x:si>
  <x:si>
    <x:t xml:space="preserve">Aceptar UAT y preparación del módulo</x:t>
  </x:si>
  <x:si>
    <x:t xml:space="preserve">Muestra con identidad y campos críticos conciliados. Cambios autorizados auditables. Duplicados rechazados sin pérdida del dato válido.</x:t>
  </x:si>
  <x:si>
    <x:t xml:space="preserve">3.01.04;2.19</x:t>
  </x:si>
  <x:si>
    <x:t xml:space="preserve">Dueño acepta versión y evidencia. Sin defectos críticos/altos abiertos del circuito.</x:t>
  </x:si>
  <x:si>
    <x:t xml:space="preserve">3.01.06</x:t>
  </x:si>
  <x:si>
    <x:t xml:space="preserve">Ejecutar paralelo controlado y piloto</x:t>
  </x:si>
  <x:si>
    <x:t xml:space="preserve">Ejecutar alta/cambio/baja autorizados y validar su resultado en ambos extremos.</x:t>
  </x:si>
  <x:si>
    <x:t xml:space="preserve">3.01.05;2.06;2.07;2.09</x:t>
  </x:si>
  <x:si>
    <x:t xml:space="preserve">Desde 04/11, por módulo preparado</x:t>
  </x:si>
  <x:si>
    <x:t xml:space="preserve">Smoke aprobado. Ciclos y excepción acordados. DIARCO/SGM conserva validez. Comparación y diferencias documentadas.</x:t>
  </x:si>
  <x:si>
    <x:t xml:space="preserve">3.01.07</x:t>
  </x:si>
  <x:si>
    <x:t xml:space="preserve">Transferir a usuarios y L1</x:t>
  </x:si>
  <x:si>
    <x:t xml:space="preserve">Calidad y aprobación del dato de negocio, tratamiento de excepciones y guía interna de mantenimiento.</x:t>
  </x:si>
  <x:si>
    <x:t xml:space="preserve">Tras aceptación de módulo</x:t>
  </x:si>
  <x:si>
    <x:t xml:space="preserve">Usuarios demuestran tareas críticas. Mesa de ayuda y suplente resuelven un caso simulado.</x:t>
  </x:si>
  <x:si>
    <x:t xml:space="preserve">3.01.08</x:t>
  </x:si>
  <x:si>
    <x:t xml:space="preserve">Cerrar paquete y recomendar expansión</x:t>
  </x:si>
  <x:si>
    <x:t xml:space="preserve">Acta de módulo, pendientes y plan de oleada</x:t>
  </x:si>
  <x:si>
    <x:t xml:space="preserve">Evidencias completas, soporte habilitado y recomendación para G3.</x:t>
  </x:si>
  <x:si>
    <x:t xml:space="preserve">3.02.01</x:t>
  </x:si>
  <x:si>
    <x:t xml:space="preserve">Preparar matriz artículo/sucursal y excepciones de Mayorista/Barrio que negocio confirme.</x:t>
  </x:si>
  <x:si>
    <x:t xml:space="preserve">Validar pertenencia a cluster, segmento y vigencia.</x:t>
  </x:si>
  <x:si>
    <x:t xml:space="preserve">3.02.03</x:t>
  </x:si>
  <x:si>
    <x:t xml:space="preserve">Diferencias entre cluster, segmento y grupo de sucursales de compra. Herencia, vigencias y estados.</x:t>
  </x:si>
  <x:si>
    <x:t xml:space="preserve">3.02.04</x:t>
  </x:si>
  <x:si>
    <x:t xml:space="preserve">Probar habilitación y exclusión en los consumidores incluidos.</x:t>
  </x:si>
  <x:si>
    <x:t xml:space="preserve">3.02.05</x:t>
  </x:si>
  <x:si>
    <x:t xml:space="preserve">Los pares habilitados y excluidos producen exactamente el efecto acordado en cada consumidor incluido.</x:t>
  </x:si>
  <x:si>
    <x:t xml:space="preserve">3.02.04;2.18</x:t>
  </x:si>
  <x:si>
    <x:t xml:space="preserve">3.02.06</x:t>
  </x:si>
  <x:si>
    <x:t xml:space="preserve">Explicar el efecto de un cambio y acordar la aprobación de excepciones.</x:t>
  </x:si>
  <x:si>
    <x:t xml:space="preserve">3.02.05;2.06;2.07;2.09</x:t>
  </x:si>
  <x:si>
    <x:t xml:space="preserve">3.02.07</x:t>
  </x:si>
  <x:si>
    <x:t xml:space="preserve">Aprobación de reglas, resolución de conflictos de elegibilidad y comunicación a los operadores.</x:t>
  </x:si>
  <x:si>
    <x:t xml:space="preserve">3.02.08</x:t>
  </x:si>
  <x:si>
    <x:t xml:space="preserve">3.03.01</x:t>
  </x:si>
  <x:si>
    <x:t xml:space="preserve">Seleccionar proveedores piloto y listas reales con permisos de uso.</x:t>
  </x:si>
  <x:si>
    <x:t xml:space="preserve">2.04;2.05;3.01.02;3.02.02</x:t>
  </x:si>
  <x:si>
    <x:t xml:space="preserve">3.03.02</x:t>
  </x:si>
  <x:si>
    <x:t xml:space="preserve">Preparar ejemplos de descuentos, vigencias y condiciones por sitio/grupo.</x:t>
  </x:si>
  <x:si>
    <x:t xml:space="preserve">3.03.03</x:t>
  </x:si>
  <x:si>
    <x:t xml:space="preserve">Precio lista, neto OC y neto estadístico. Descuentos y reglas dentro/fuera de OC. Orden de aplicación y vigencia.</x:t>
  </x:si>
  <x:si>
    <x:t xml:space="preserve">3.03.04</x:t>
  </x:si>
  <x:si>
    <x:t xml:space="preserve">Construir con Zeetrex casos de cálculo esperados y aprobar su semántica.</x:t>
  </x:si>
  <x:si>
    <x:t xml:space="preserve">3.03.05</x:t>
  </x:si>
  <x:si>
    <x:t xml:space="preserve">Casos dorados reproducibles con impuestos y redondeos aprobados por las áreas competentes, sin doble aplicación de reglas.</x:t>
  </x:si>
  <x:si>
    <x:t xml:space="preserve">3.03.06</x:t>
  </x:si>
  <x:si>
    <x:t xml:space="preserve">Importar, corregir errores y validar la versión que consumen compras y OC.</x:t>
  </x:si>
  <x:si>
    <x:t xml:space="preserve">3.03.05;2.06;2.07;2.09</x:t>
  </x:si>
  <x:si>
    <x:t xml:space="preserve">3.03.07</x:t>
  </x:si>
  <x:si>
    <x:t xml:space="preserve">Veracidad de condiciones comerciales, autorización de versiones y conciliación de resultados.</x:t>
  </x:si>
  <x:si>
    <x:t xml:space="preserve">3.03.08</x:t>
  </x:si>
  <x:si>
    <x:t xml:space="preserve">3.04.01</x:t>
  </x:si>
  <x:si>
    <x:t xml:space="preserve">Acordar artículos, proveedores y sitios representativos de los modos de compra incluidos.</x:t>
  </x:si>
  <x:si>
    <x:t xml:space="preserve">2.04;2.05;3.03.02;3.10.02</x:t>
  </x:si>
  <x:si>
    <x:t xml:space="preserve">3.04.02</x:t>
  </x:si>
  <x:si>
    <x:t xml:space="preserve">Revisar demanda, stock, pendientes y parámetros usados por el sugerido.</x:t>
  </x:si>
  <x:si>
    <x:t xml:space="preserve">3.04.03</x:t>
  </x:si>
  <x:si>
    <x:t xml:space="preserve">Pronóstico, días de stock, unidades de compra, pendientes, trazabilidad y límites de aprobación.</x:t>
  </x:si>
  <x:si>
    <x:t xml:space="preserve">3.04.04</x:t>
  </x:si>
  <x:si>
    <x:t xml:space="preserve">Ejecutar una propuesta, justificar ajustes y enviarla al aprobador.</x:t>
  </x:si>
  <x:si>
    <x:t xml:space="preserve">3.04.05</x:t>
  </x:si>
  <x:si>
    <x:t xml:space="preserve">Propuesta reproducible para el corte elegido. Valores esperados aprobados y traspaso a OC sin perder ajustes o autorizaciones.</x:t>
  </x:si>
  <x:si>
    <x:t xml:space="preserve">3.04.06</x:t>
  </x:si>
  <x:si>
    <x:t xml:space="preserve">Comparar el resultado con casos reales y registrar diferencias con causa.</x:t>
  </x:si>
  <x:si>
    <x:t xml:space="preserve">3.04.05;2.06;2.07;2.09</x:t>
  </x:si>
  <x:si>
    <x:t xml:space="preserve">3.04.07</x:t>
  </x:si>
  <x:si>
    <x:t xml:space="preserve">Calidad de parámetros de negocio, revisión del sugerido y justificación de decisiones de compra.</x:t>
  </x:si>
  <x:si>
    <x:t xml:space="preserve">3.04.08</x:t>
  </x:si>
  <x:si>
    <x:t xml:space="preserve">3.05.01</x:t>
  </x:si>
  <x:si>
    <x:t xml:space="preserve">Definir roles y límites de generación, aprobación y anulación.</x:t>
  </x:si>
  <x:si>
    <x:t xml:space="preserve">2.04;2.05;3.03.02;3.04.04</x:t>
  </x:si>
  <x:si>
    <x:t xml:space="preserve">3.05.02</x:t>
  </x:si>
  <x:si>
    <x:t xml:space="preserve">Acordar quién comunica la OC al proveedor durante la convivencia.</x:t>
  </x:si>
  <x:si>
    <x:t xml:space="preserve">3.05.03</x:t>
  </x:si>
  <x:si>
    <x:t xml:space="preserve">Estados de OC, precio/impuestos, permisos, acuse técnico y funcional, reintento y contingencia.</x:t>
  </x:si>
  <x:si>
    <x:t xml:space="preserve">3.05.04</x:t>
  </x:si>
  <x:si>
    <x:t xml:space="preserve">Validar valorización con Compras e Impuestos y vinculación de identificadores.</x:t>
  </x:si>
  <x:si>
    <x:t xml:space="preserve">3.05.05</x:t>
  </x:si>
  <x:si>
    <x:t xml:space="preserve">Cada OC piloto tiene identificación cruzada, valores conciliados y resultado confirmado. Reintentar no duplica documento ni envío al proveedor.</x:t>
  </x:si>
  <x:si>
    <x:t xml:space="preserve">3.05.06</x:t>
  </x:si>
  <x:si>
    <x:t xml:space="preserve">Conciliar cabecera, líneas y estado en SGM y ensayar recuperación sin duplicar.</x:t>
  </x:si>
  <x:si>
    <x:t xml:space="preserve">3.05.05;2.06;2.07;2.09</x:t>
  </x:si>
  <x:si>
    <x:t xml:space="preserve">3.05.07</x:t>
  </x:si>
  <x:si>
    <x:t xml:space="preserve">Aceptación comercial de la OC, autorización del circuito y control de pendientes no conciliados.</x:t>
  </x:si>
  <x:si>
    <x:t xml:space="preserve">3.05.08</x:t>
  </x:si>
  <x:si>
    <x:t xml:space="preserve">3.06.01</x:t>
  </x:si>
  <x:si>
    <x:t xml:space="preserve">Mapear operación con PDA, diferencias y documentos pendientes.</x:t>
  </x:si>
  <x:si>
    <x:t xml:space="preserve">2.04;2.05;3.05.04;3.10.02</x:t>
  </x:si>
  <x:si>
    <x:t xml:space="preserve">3.06.02</x:t>
  </x:si>
  <x:si>
    <x:t xml:space="preserve">Probar una sucursal Mayorista y una Barrio si ambas participan del piloto.</x:t>
  </x:si>
  <x:si>
    <x:t xml:space="preserve">3.06.03</x:t>
  </x:si>
  <x:si>
    <x:t xml:space="preserve">OC/transferencia pendiente, unidad de recepción, recepción parcial y final, diferencias y contingencia.</x:t>
  </x:si>
  <x:si>
    <x:t xml:space="preserve">3.06.04</x:t>
  </x:si>
  <x:si>
    <x:t xml:space="preserve">Conciliar cantidades recibidas, pendientes y stock del sistema autorizado.</x:t>
  </x:si>
  <x:si>
    <x:t xml:space="preserve">3.06.05</x:t>
  </x:si>
  <x:si>
    <x:t xml:space="preserve">Recepción y saldo pendiente coinciden con evidencia física y con el sistema autorizado, sin doble impacto.</x:t>
  </x:si>
  <x:si>
    <x:t xml:space="preserve">3.06.06</x:t>
  </x:si>
  <x:si>
    <x:t xml:space="preserve">Ensayar caída de comunicación y recuperación con control de doble recepción.</x:t>
  </x:si>
  <x:si>
    <x:t xml:space="preserve">3.06.05;2.06;2.07;2.09;2.12;2.15;2.17</x:t>
  </x:si>
  <x:si>
    <x:t xml:space="preserve">3.06.07</x:t>
  </x:si>
  <x:si>
    <x:t xml:space="preserve">Corrección del registro físico, validación del documento y disciplina del circuito durante convivencia.</x:t>
  </x:si>
  <x:si>
    <x:t xml:space="preserve">3.06.08</x:t>
  </x:si>
  <x:si>
    <x:t xml:space="preserve">3.07.01</x:t>
  </x:si>
  <x:si>
    <x:t xml:space="preserve">Definir mapa, muestra de conteo, corte y responsables de recuento.</x:t>
  </x:si>
  <x:si>
    <x:t xml:space="preserve">2.04;2.05;3.10.02</x:t>
  </x:si>
  <x:si>
    <x:t xml:space="preserve">3.07.02</x:t>
  </x:si>
  <x:si>
    <x:t xml:space="preserve">Preparar artículos con cantidad conocida y casos de diferencia.</x:t>
  </x:si>
  <x:si>
    <x:t xml:space="preserve">3.07.03</x:t>
  </x:si>
  <x:si>
    <x:t xml:space="preserve">Foto de stock, corte, conteo/recuento, diferencias, aprobación y trazabilidad de ajuste.</x:t>
  </x:si>
  <x:si>
    <x:t xml:space="preserve">3.07.04</x:t>
  </x:si>
  <x:si>
    <x:t xml:space="preserve">Ejecutar conteo, recuento y aprobación con segregación.</x:t>
  </x:si>
  <x:si>
    <x:t xml:space="preserve">3.07.05</x:t>
  </x:si>
  <x:si>
    <x:t xml:space="preserve">Conteo, diferencia y ajuste mantienen trazabilidad. El ajuste ocurre una sola vez y sólo con autorización válida.</x:t>
  </x:si>
  <x:si>
    <x:t xml:space="preserve">3.07.06</x:t>
  </x:si>
  <x:si>
    <x:t xml:space="preserve">Conciliar el ajuste aplicado y conservar evidencia previa y posterior.</x:t>
  </x:si>
  <x:si>
    <x:t xml:space="preserve">3.07.05;2.06;2.07;2.09;2.16</x:t>
  </x:si>
  <x:si>
    <x:t xml:space="preserve">3.07.07</x:t>
  </x:si>
  <x:si>
    <x:t xml:space="preserve">Veracidad del conteo, autorización de diferencias y conservación de evidencia de auditoría.</x:t>
  </x:si>
  <x:si>
    <x:t xml:space="preserve">3.07.08</x:t>
  </x:si>
  <x:si>
    <x:t xml:space="preserve">3.08.01</x:t>
  </x:si>
  <x:si>
    <x:t xml:space="preserve">Confirmar la población de PDD de la primera oleada y su interfaz/consumidor, bajo la Estrategia B1.</x:t>
  </x:si>
  <x:si>
    <x:t xml:space="preserve">2.04;2.05;3.02.02;3.10.02</x:t>
  </x:si>
  <x:si>
    <x:t xml:space="preserve">3.08.02</x:t>
  </x:si>
  <x:si>
    <x:t xml:space="preserve">Revalidar cobertura Inventory y resolver excepciones con su dueño.</x:t>
  </x:si>
  <x:si>
    <x:t xml:space="preserve">3.08.03</x:t>
  </x:si>
  <x:si>
    <x:t xml:space="preserve">Necesidad frente a orden/reserva/viaje, stock neto, PDVB, cobertura, exclusiones y saldo del backlog.</x:t>
  </x:si>
  <x:si>
    <x:t xml:space="preserve">3.08.04</x:t>
  </x:si>
  <x:si>
    <x:t xml:space="preserve">Probar necesidades dirigidas aprobadas y cálculo diario con evidencia.</x:t>
  </x:si>
  <x:si>
    <x:t xml:space="preserve">3.08.05</x:t>
  </x:si>
  <x:si>
    <x:t xml:space="preserve">Se cumplen controles vigentes de cobertura y casos dorados. Backlog trazable sin atribuir a PDD funciones de transporte excluidas.</x:t>
  </x:si>
  <x:si>
    <x:t xml:space="preserve">3.08.06</x:t>
  </x:si>
  <x:si>
    <x:t xml:space="preserve">Conciliar consumo y retorno del sistema logístico sólo bajo contrato confirmado.</x:t>
  </x:si>
  <x:si>
    <x:t xml:space="preserve">3.08.05;2.06;2.07;2.09</x:t>
  </x:si>
  <x:si>
    <x:t xml:space="preserve">3.08.07</x:t>
  </x:si>
  <x:si>
    <x:t xml:space="preserve">Prioridades de negocio, validación del backlog y decisión sobre excepciones de cobertura.</x:t>
  </x:si>
  <x:si>
    <x:t xml:space="preserve">3.08.08</x:t>
  </x:si>
  <x:si>
    <x:t xml:space="preserve">3.09.01</x:t>
  </x:si>
  <x:si>
    <x:t xml:space="preserve">Validar con negocio transferencias, acopios, campañas y límites de cada circuito.</x:t>
  </x:si>
  <x:si>
    <x:t xml:space="preserve">2.04;2.05;3.08.04;3.02.02</x:t>
  </x:si>
  <x:si>
    <x:t xml:space="preserve">3.09.02</x:t>
  </x:si>
  <x:si>
    <x:t xml:space="preserve">Acordar con Valkimia/CD interfaz o alternativa Excel, responsables y acuses.</x:t>
  </x:si>
  <x:si>
    <x:t xml:space="preserve">3.09.03</x:t>
  </x:si>
  <x:si>
    <x:t xml:space="preserve">Necesidad, transferencia, viaje y movimiento son objetos distintos. Exportación/importación, acuse y estado oficial durante convivencia.</x:t>
  </x:si>
  <x:si>
    <x:t xml:space="preserve">3.09.04</x:t>
  </x:si>
  <x:si>
    <x:t xml:space="preserve">Ejecutar una transferencia de extremo a extremo con identificadores y cantidades conciliados.</x:t>
  </x:si>
  <x:si>
    <x:t xml:space="preserve">3.09.05</x:t>
  </x:si>
  <x:si>
    <x:t xml:space="preserve">El intercambio elegido está validado por Valkimia/CD. Cantidades y documentos concilian en el circuito aprobado, sin atribuir a PDD funciones TMS.</x:t>
  </x:si>
  <x:si>
    <x:t xml:space="preserve">3.09.06</x:t>
  </x:si>
  <x:si>
    <x:t xml:space="preserve">Probar retorno parcial, excepción y recuperación sin duplicar movimientos.</x:t>
  </x:si>
  <x:si>
    <x:t xml:space="preserve">3.09.05;2.06;2.07;2.09;2.13</x:t>
  </x:si>
  <x:si>
    <x:t xml:space="preserve">3.09.07</x:t>
  </x:si>
  <x:si>
    <x:t xml:space="preserve">Validación de prioridades, contenido de transferencias y conciliación funcional con CD y Valkimia.</x:t>
  </x:si>
  <x:si>
    <x:t xml:space="preserve">3.09.08</x:t>
  </x:si>
  <x:si>
    <x:t xml:space="preserve">3.10.01</x:t>
  </x:si>
  <x:si>
    <x:t xml:space="preserve">Identificar fuentes oficiales, cortes, responsables y controles por interfaz.</x:t>
  </x:si>
  <x:si>
    <x:t xml:space="preserve">3.10.02</x:t>
  </x:si>
  <x:si>
    <x:t xml:space="preserve">Acordar latencias admisibles, alertas y conciliaciones por ciclo.</x:t>
  </x:si>
  <x:si>
    <x:t xml:space="preserve">3.10.03</x:t>
  </x:si>
  <x:si>
    <x:t xml:space="preserve">Stock oficial frente a proyecciones, cortes, correlación, conciliación y límites del reproceso.</x:t>
  </x:si>
  <x:si>
    <x:t xml:space="preserve">3.10.04</x:t>
  </x:si>
  <x:si>
    <x:t xml:space="preserve">Verificar una operación y su impacto de extremo a extremo con datos de SGM.</x:t>
  </x:si>
  <x:si>
    <x:t xml:space="preserve">3.10.05</x:t>
  </x:si>
  <x:si>
    <x:t xml:space="preserve">Cada interfaz crítica tiene control, dueño y alerta probada. Stock/pendientes concilian bajo cortes acordados y autoridad SGM.</x:t>
  </x:si>
  <x:si>
    <x:t xml:space="preserve">3.10.06</x:t>
  </x:si>
  <x:si>
    <x:t xml:space="preserve">Simular alerta, abrir ticket, recuperar y verificar saldos/documentos.</x:t>
  </x:si>
  <x:si>
    <x:t xml:space="preserve">3.10.05;2.06;2.07;2.09</x:t>
  </x:si>
  <x:si>
    <x:t xml:space="preserve">3.10.07</x:t>
  </x:si>
  <x:si>
    <x:t xml:space="preserve">Control de diferencias y decisión de negocio sobre saldos. IT asume monitoreo y recuperación técnica.</x:t>
  </x:si>
  <x:si>
    <x:t xml:space="preserve">3.10.08</x:t>
  </x:si>
  <x:si>
    <x:t xml:space="preserve">4.01</x:t>
  </x:si>
  <x:si>
    <x:t xml:space="preserve">Consolidar UAT y G1</x:t>
  </x:si>
  <x:si>
    <x:t xml:space="preserve">Actas de módulos incluidos en piloto</x:t>
  </x:si>
  <x:si>
    <x:t xml:space="preserve">3.01.05;3.02.05;3.03.05;3.04.05;3.05.05;3.06.05;3.07.05;3.08.05;3.09.05;3.10.05</x:t>
  </x:si>
  <x:si>
    <x:t xml:space="preserve">Sólo se exigen módulos seleccionados. Excluidos requieren decisión de alcance, nunca aprobación ficticia.</x:t>
  </x:si>
  <x:si>
    <x:t xml:space="preserve">4.02</x:t>
  </x:si>
  <x:si>
    <x:t xml:space="preserve">Validar resultado piloto y G2</x:t>
  </x:si>
  <x:si>
    <x:t xml:space="preserve">Informe de ciclos, incidencias y conciliación</x:t>
  </x:si>
  <x:si>
    <x:t xml:space="preserve">4.01;2.06;2.07</x:t>
  </x:si>
  <x:si>
    <x:t xml:space="preserve">Después del piloto</x:t>
  </x:si>
  <x:si>
    <x:t xml:space="preserve">Criterios G2 cumplidos para el alcance seleccionado. Dependencias de módulos aplicables completas.</x:t>
  </x:si>
  <x:si>
    <x:t xml:space="preserve">4.03</x:t>
  </x:si>
  <x:si>
    <x:t xml:space="preserve">Autorizar y ejecutar oleada G3</x:t>
  </x:si>
  <x:si>
    <x:t xml:space="preserve">Acta go/no-go y bitácora de corte</x:t>
  </x:si>
  <x:si>
    <x:t xml:space="preserve">Fecha condicionada a gates</x:t>
  </x:si>
  <x:si>
    <x:t xml:space="preserve">Dueños aceptan operación, IT confirma contingencia y sponsor autoriza la oleada.</x:t>
  </x:si>
  <x:si>
    <x:t xml:space="preserve">4.04</x:t>
  </x:si>
  <x:si>
    <x:t xml:space="preserve">Medir adopción y estabilizar</x:t>
  </x:si>
  <x:si>
    <x:t xml:space="preserve">Tablero por módulo/rol/sitio y pendientes</x:t>
  </x:si>
  <x:si>
    <x:t xml:space="preserve">Hypercare</x:t>
  </x:si>
  <x:si>
    <x:t xml:space="preserve">Ciclos previstos ejecutados y tickets seguidos. Se investiga toda operación fuera del circuito acordado.</x:t>
  </x:si>
  <x:si>
    <x:t xml:space="preserve">4.05</x:t>
  </x:si>
  <x:si>
    <x:t xml:space="preserve">Aceptar transferencia G4</x:t>
  </x:si>
  <x:si>
    <x:t xml:space="preserve">Acta de operación DIARCO y cobertura L1/L2</x:t>
  </x:si>
  <x:si>
    <x:t xml:space="preserve">Salida de hypercare</x:t>
  </x:si>
  <x:si>
    <x:t xml:space="preserve">Cinco días operativos estables propuestos y evidencia de autonomía de titular/suplente.</x:t>
  </x:si>
  <x:si>
    <x:t xml:space="preserve">5.01</x:t>
  </x:si>
  <x:si>
    <x:t xml:space="preserve">Cerrar y aprender</x:t>
  </x:si>
  <x:si>
    <x:t xml:space="preserve">Informe esfuerzo real, resultados y desvíos</x:t>
  </x:si>
  <x:si>
    <x:t xml:space="preserve">Cierre</x:t>
  </x:si>
  <x:si>
    <x:t xml:space="preserve">Desvíos clasificados y cada pendiente tiene dueño, fecha y bloque destino.</x:t>
  </x:si>
  <x:si>
    <x:t xml:space="preserve">5.02</x:t>
  </x:si>
  <x:si>
    <x:t xml:space="preserve">Preparar mejora de metodología</x:t>
  </x:si>
  <x:si>
    <x:t xml:space="preserve">Plantillas sin datos de cliente y propuesta de revisión</x:t>
  </x:si>
  <x:si>
    <x:t xml:space="preserve">Después del cierre</x:t>
  </x:si>
  <x:si>
    <x:t xml:space="preserve">Aprendizajes anonimizados. Publicación normativa sólo por propietario del estándar.</x:t>
  </x:si>
  <x:si>
    <x:t xml:space="preserve">Responsabilidades por actividad</x:t>
  </x:si>
  <x:si>
    <x:t xml:space="preserve">Un solo A por fila. DP/RF corresponden al módulo. Nombres y facultades deben confirmarse.</x:t>
  </x:si>
  <x:si>
    <x:t xml:space="preserve">US</x:t>
  </x:si>
  <x:si>
    <x:t xml:space="preserve">EXT</x:t>
  </x:si>
  <x:si>
    <x:t xml:space="preserve">RC01</x:t>
  </x:si>
  <x:si>
    <x:t xml:space="preserve">Asignar personas y tiempo DIARCO</x:t>
  </x:si>
  <x:si>
    <x:t xml:space="preserve">C</x:t>
  </x:si>
  <x:si>
    <x:t xml:space="preserve">RC02</x:t>
  </x:si>
  <x:si>
    <x:t xml:space="preserve">Aprobar baseline de alcance B1</x:t>
  </x:si>
  <x:si>
    <x:t xml:space="preserve">I</x:t>
  </x:si>
  <x:si>
    <x:t xml:space="preserve">RC03</x:t>
  </x:si>
  <x:si>
    <x:t xml:space="preserve">Definir reglas y datos esperados del módulo</x:t>
  </x:si>
  <x:si>
    <x:t xml:space="preserve">RC04</x:t>
  </x:si>
  <x:si>
    <x:t xml:space="preserve">Configurar y entregar versión para prueba</x:t>
  </x:si>
  <x:si>
    <x:t xml:space="preserve">RC05</x:t>
  </x:si>
  <x:si>
    <x:t xml:space="preserve">Habilitar accesos y entorno DIARCO</x:t>
  </x:si>
  <x:si>
    <x:t xml:space="preserve">A/R</x:t>
  </x:si>
  <x:si>
    <x:t xml:space="preserve">RC06</x:t>
  </x:si>
  <x:si>
    <x:t xml:space="preserve">Certificar datos de negocio</x:t>
  </x:si>
  <x:si>
    <x:t xml:space="preserve">RC07</x:t>
  </x:si>
  <x:si>
    <x:t xml:space="preserve">Preparar material y formar referentes</x:t>
  </x:si>
  <x:si>
    <x:t xml:space="preserve">RC08</x:t>
  </x:si>
  <x:si>
    <x:t xml:space="preserve">Validar competencia de referentes</x:t>
  </x:si>
  <x:si>
    <x:t xml:space="preserve">RC09</x:t>
  </x:si>
  <x:si>
    <x:t xml:space="preserve">Ejecutar UAT y aceptar módulo</x:t>
  </x:si>
  <x:si>
    <x:t xml:space="preserve">RC10</x:t>
  </x:si>
  <x:si>
    <x:t xml:space="preserve">Corregir defecto de producto</x:t>
  </x:si>
  <x:si>
    <x:t xml:space="preserve">RC11</x:t>
  </x:si>
  <x:si>
    <x:t xml:space="preserve">Ejecutar piloto funcional</x:t>
  </x:si>
  <x:si>
    <x:t xml:space="preserve">RC12</x:t>
  </x:si>
  <x:si>
    <x:t xml:space="preserve">Autorizar salida de oleada</x:t>
  </x:si>
  <x:si>
    <x:t xml:space="preserve">RC13</x:t>
  </x:si>
  <x:si>
    <x:t xml:space="preserve">Ejecutar corte técnico coordinado</x:t>
  </x:si>
  <x:si>
    <x:t xml:space="preserve">RC14</x:t>
  </x:si>
  <x:si>
    <x:t xml:space="preserve">Decidir contingencia o retorno</x:t>
  </x:si>
  <x:si>
    <x:t xml:space="preserve">RC15</x:t>
  </x:si>
  <x:si>
    <x:t xml:space="preserve">Registrar y seguir ticket L1</x:t>
  </x:si>
  <x:si>
    <x:t xml:space="preserve">RC16</x:t>
  </x:si>
  <x:si>
    <x:t xml:space="preserve">Resolver consulta funcional L1</x:t>
  </x:si>
  <x:si>
    <x:t xml:space="preserve">RC17</x:t>
  </x:si>
  <x:si>
    <x:t xml:space="preserve">Resolver incidente de infraestructura DIARCO</x:t>
  </x:si>
  <x:si>
    <x:t xml:space="preserve">RC18</x:t>
  </x:si>
  <x:si>
    <x:t xml:space="preserve">Resolver incidente producto L2</x:t>
  </x:si>
  <x:si>
    <x:t xml:space="preserve">RC19</x:t>
  </x:si>
  <x:si>
    <x:t xml:space="preserve">Capacitar resto de usuarios DIARCO</x:t>
  </x:si>
  <x:si>
    <x:t xml:space="preserve">RC20</x:t>
  </x:si>
  <x:si>
    <x:t xml:space="preserve">Aceptar operación y cierre</x:t>
  </x:si>
  <x:si>
    <x:t xml:space="preserve">RC21</x:t>
  </x:si>
  <x:si>
    <x:t xml:space="preserve">Consolidar aprendizajes reutilizables</x:t>
  </x:si>
  <x:si>
    <x:t xml:space="preserve">GAPS y decisiones de alcance</x:t>
  </x:si>
  <x:si>
    <x:t xml:space="preserve">Clasificación inicial basada en antecedentes. Decisión final y evidencia a completar.</x:t>
  </x:si>
  <x:si>
    <x:t xml:space="preserve">GAP</x:t>
  </x:si>
  <x:si>
    <x:t xml:space="preserve">Capacidad / pedido</x:t>
  </x:si>
  <x:si>
    <x:t xml:space="preserve">Clasificación documentada</x:t>
  </x:si>
  <x:si>
    <x:t xml:space="preserve">Condición / detalle pendiente</x:t>
  </x:si>
  <x:si>
    <x:t xml:space="preserve">Fuentes</x:t>
  </x:si>
  <x:si>
    <x:t xml:space="preserve">Decisión final</x:t>
  </x:si>
  <x:si>
    <x:t xml:space="preserve">Dueño de decisión</x:t>
  </x:si>
  <x:si>
    <x:t xml:space="preserve">Fecha</x:t>
  </x:si>
  <x:si>
    <x:t xml:space="preserve">Motivo / impacto</x:t>
  </x:si>
  <x:si>
    <x:t xml:space="preserve">GAP-01</x:t>
  </x:si>
  <x:si>
    <x:t xml:space="preserve">Reglas y descuentos en listas por sitio/grupo</x:t>
  </x:si>
  <x:si>
    <x:t xml:space="preserve">Pendiente</x:t>
  </x:si>
  <x:si>
    <x:t xml:space="preserve">Semántica y casos dorados</x:t>
  </x:si>
  <x:si>
    <x:t xml:space="preserve">S06</x:t>
  </x:si>
  <x:si>
    <x:t xml:space="preserve">GAP-02</x:t>
  </x:si>
  <x:si>
    <x:t xml:space="preserve">Aprobación automática por días de stock/monto</x:t>
  </x:si>
  <x:si>
    <x:t xml:space="preserve">Umbral, autoridad y excepciones sin cerrar</x:t>
  </x:si>
  <x:si>
    <x:t xml:space="preserve">GAP-03</x:t>
  </x:si>
  <x:si>
    <x:t xml:space="preserve">OC madre e hijas desde recepción</x:t>
  </x:si>
  <x:si>
    <x:t xml:space="preserve">B1 documentado, reglas por cerrar</x:t>
  </x:si>
  <x:si>
    <x:t xml:space="preserve">S16 documenta validación OC madre/PDA. Confirmar vigencia/cambio de lista y saldo antes de aceptarla.</x:t>
  </x:si>
  <x:si>
    <x:t xml:space="preserve">S06; S16</x:t>
  </x:si>
  <x:si>
    <x:t xml:space="preserve">GAP-04</x:t>
  </x:si>
  <x:si>
    <x:t xml:space="preserve">Redespacho y retorno de Valkimia</x:t>
  </x:si>
  <x:si>
    <x:t xml:space="preserve">B1 documentado, contrato pendiente</x:t>
  </x:si>
  <x:si>
    <x:t xml:space="preserve">Redespacho prioritario documentado. Verificar devolución VKM comprometida 27/10 y distinguir preparado/despachado/no preparado.</x:t>
  </x:si>
  <x:si>
    <x:t xml:space="preserve">S06; S07; S16; S17</x:t>
  </x:si>
  <x:si>
    <x:t xml:space="preserve">GAP-05</x:t>
  </x:si>
  <x:si>
    <x:t xml:space="preserve">Optimización avanzada TMS/cubicaje/camiones</x:t>
  </x:si>
  <x:si>
    <x:t xml:space="preserve">B2 propuesto</x:t>
  </x:si>
  <x:si>
    <x:t xml:space="preserve">La planificación básica de transferencias es B1 (M09). Optimización avanzada no se agrega a PDD.</x:t>
  </x:si>
  <x:si>
    <x:t xml:space="preserve">S06; S07</x:t>
  </x:si>
  <x:si>
    <x:t xml:space="preserve">GAP-06</x:t>
  </x:si>
  <x:si>
    <x:t xml:space="preserve">Cobertura Inventory para cálculo PDD</x:t>
  </x:si>
  <x:si>
    <x:t xml:space="preserve">B1 detalle pendiente</x:t>
  </x:si>
  <x:si>
    <x:t xml:space="preserve">Revalidar ambiente/cobertura actual. No usar la foto del 29/10 como gate futuro.</x:t>
  </x:si>
  <x:si>
    <x:t xml:space="preserve">S08</x:t>
  </x:si>
  <x:si>
    <x:t xml:space="preserve">GAP-07</x:t>
  </x:si>
  <x:si>
    <x:t xml:space="preserve">Precio de venta, márgenes y costos avanzados</x:t>
  </x:si>
  <x:si>
    <x:t xml:space="preserve">B2 según Estrategia</x:t>
  </x:si>
  <x:si>
    <x:t xml:space="preserve">Consolidación posterior: kardex, valorización y precios de venta. No confundir con lista de compra.</x:t>
  </x:si>
  <x:si>
    <x:t xml:space="preserve">S04; S05</x:t>
  </x:si>
  <x:si>
    <x:t xml:space="preserve">GAP-08</x:t>
  </x:si>
  <x:si>
    <x:t xml:space="preserve">Recepciones y alcance de convivencia SGM</x:t>
  </x:si>
  <x:si>
    <x:t xml:space="preserve">Confirmar etapa, pilotos y autoridad de stock/pendientes</x:t>
  </x:si>
  <x:si>
    <x:t xml:space="preserve">S05; S06</x:t>
  </x:si>
  <x:si>
    <x:t xml:space="preserve">GAP-09</x:t>
  </x:si>
  <x:si>
    <x:t xml:space="preserve">Productos hermanos y sustitutos</x:t>
  </x:si>
  <x:si>
    <x:t xml:space="preserve">Definir resultado observable, consumidor y bloque</x:t>
  </x:si>
  <x:si>
    <x:t xml:space="preserve">GAP-10</x:t>
  </x:si>
  <x:si>
    <x:t xml:space="preserve">Migración QX y reposición automática</x:t>
  </x:si>
  <x:si>
    <x:t xml:space="preserve">B2 según Pendientes, ratificar</x:t>
  </x:si>
  <x:si>
    <x:t xml:space="preserve">No confundir uso del sugerido en B1 con cambio del motor/reposición automática legado.</x:t>
  </x:si>
  <x:si>
    <x:t xml:space="preserve">S26</x:t>
  </x:si>
  <x:si>
    <x:t xml:space="preserve">GAP-11</x:t>
  </x:si>
  <x:si>
    <x:t xml:space="preserve">Recuperación integral posterior al incidente</x:t>
  </x:si>
  <x:si>
    <x:t xml:space="preserve">B1 prerrequisito</x:t>
  </x:si>
  <x:si>
    <x:t xml:space="preserve">Obtener evidencia de cierre de los compromisos 26–27/10. Autorización, remitos y numeración SGM.</x:t>
  </x:si>
  <x:si>
    <x:t xml:space="preserve">S19; S20; S27</x:t>
  </x:si>
  <x:si>
    <x:t xml:space="preserve">GAP-12</x:t>
  </x:si>
  <x:si>
    <x:t xml:space="preserve">Confiabilidad del stock inicial</x:t>
  </x:si>
  <x:si>
    <x:t xml:space="preserve">Regularizar movimientos antes de interpretar diferencias. Autoridad SGM no equivale a saldo ya conciliado.</x:t>
  </x:si>
  <x:si>
    <x:t xml:space="preserve">S19; S27</x:t>
  </x:si>
  <x:si>
    <x:t xml:space="preserve">GAP-13</x:t>
  </x:si>
  <x:si>
    <x:t xml:space="preserve">Modelo final clusters/segmentos</x:t>
  </x:si>
  <x:si>
    <x:t xml:space="preserve">Simular categoría real con Liliana. Seis segmentos no son decisión definitiva.</x:t>
  </x:si>
  <x:si>
    <x:t xml:space="preserve">S28</x:t>
  </x:si>
  <x:si>
    <x:t xml:space="preserve">Pruebas de aceptación y smoke</x:t>
  </x:si>
  <x:si>
    <x:t xml:space="preserve">Acordar esperado antes de ejecutar. Reprueba: nueva fila con ID propio, conservando la ejecución anterior.</x:t>
  </x:si>
  <x:si>
    <x:t xml:space="preserve">Caso / ejecución</x:t>
  </x:si>
  <x:si>
    <x:t xml:space="preserve">Escenario</x:t>
  </x:si>
  <x:si>
    <x:t xml:space="preserve">Criticidad</x:t>
  </x:si>
  <x:si>
    <x:t xml:space="preserve">Precondiciones / dataset</x:t>
  </x:si>
  <x:si>
    <x:t xml:space="preserve">Pasos</x:t>
  </x:si>
  <x:si>
    <x:t xml:space="preserve">Resultado esperado a aprobar</x:t>
  </x:si>
  <x:si>
    <x:t xml:space="preserve">R ejecuta</x:t>
  </x:si>
  <x:si>
    <x:t xml:space="preserve">A acepta</x:t>
  </x:si>
  <x:si>
    <x:t xml:space="preserve">Versión</x:t>
  </x:si>
  <x:si>
    <x:t xml:space="preserve">Ambiente</x:t>
  </x:si>
  <x:si>
    <x:t xml:space="preserve">Dataset / corte</x:t>
  </x:si>
  <x:si>
    <x:t xml:space="preserve">Ejecutado por</x:t>
  </x:si>
  <x:si>
    <x:t xml:space="preserve">Fecha ejecución</x:t>
  </x:si>
  <x:si>
    <x:t xml:space="preserve">Resultado real</x:t>
  </x:si>
  <x:si>
    <x:t xml:space="preserve">Defecto</x:t>
  </x:si>
  <x:si>
    <x:t xml:space="preserve">Dictamen</x:t>
  </x:si>
  <x:si>
    <x:t xml:space="preserve">Estado ejecución</x:t>
  </x:si>
  <x:si>
    <x:t xml:space="preserve">Control de evidencia</x:t>
  </x:si>
  <x:si>
    <x:t xml:space="preserve">Esperado aprobado por</x:t>
  </x:si>
  <x:si>
    <x:t xml:space="preserve">Fecha validación esperado</x:t>
  </x:si>
  <x:si>
    <x:t xml:space="preserve">UAT-M01-1</x:t>
  </x:si>
  <x:si>
    <x:t xml:space="preserve">Alta y cambio autorizados</x:t>
  </x:si>
  <x:si>
    <x:t xml:space="preserve">Crítica</x:t>
  </x:si>
  <x:si>
    <x:t xml:space="preserve">Artículo de prueba con EAN y proveedor válidos</x:t>
  </x:si>
  <x:si>
    <x:t xml:space="preserve">Crear, modificar y consultar en destino</x:t>
  </x:si>
  <x:si>
    <x:t xml:space="preserve">Un solo artículo. Campos críticos y vínculo de sincronización coinciden con el resultado esperado.</x:t>
  </x:si>
  <x:si>
    <x:t xml:space="preserve">No ejecutado</x:t>
  </x:si>
  <x:si>
    <x:t xml:space="preserve">UAT-M01-2</x:t>
  </x:si>
  <x:si>
    <x:t xml:space="preserve">Identificador duplicado</x:t>
  </x:si>
  <x:si>
    <x:t xml:space="preserve">EAN ya asignado a otro artículo</x:t>
  </x:si>
  <x:si>
    <x:t xml:space="preserve">Intentar una nueva alta con ese EAN</x:t>
  </x:si>
  <x:si>
    <x:t xml:space="preserve">Rechazo o tratamiento definido por el contrato, sin duplicar ni sobrescribir el artículo válido.</x:t>
  </x:si>
  <x:si>
    <x:t xml:space="preserve">UAT-M02-1</x:t>
  </x:si>
  <x:si>
    <x:t xml:space="preserve">Par habilitado y excluido</x:t>
  </x:si>
  <x:si>
    <x:t xml:space="preserve">Dos pares con distinta elegibilidad y regla vigente</x:t>
  </x:si>
  <x:si>
    <x:t xml:space="preserve">Consultar y ejecutar el consumidor aprobado para ambos</x:t>
  </x:si>
  <x:si>
    <x:t xml:space="preserve">El habilitado participa. El excluido no genera operaciones nuevas incompatibles. Motivo trazable.</x:t>
  </x:si>
  <x:si>
    <x:t xml:space="preserve">UAT-M02-2</x:t>
  </x:si>
  <x:si>
    <x:t xml:space="preserve">Cambio de vigencia</x:t>
  </x:si>
  <x:si>
    <x:t xml:space="preserve">Regla actual y cambio con vigencia futura</x:t>
  </x:si>
  <x:si>
    <x:t xml:space="preserve">Consultar antes y después del corte en TEST</x:t>
  </x:si>
  <x:si>
    <x:t xml:space="preserve">Cada fecha usa la versión esperada. El cambio no altera documentos históricos.</x:t>
  </x:si>
  <x:si>
    <x:t xml:space="preserve">UAT-M03-1</x:t>
  </x:si>
  <x:si>
    <x:t xml:space="preserve">Lista por proveedor y sucursal</x:t>
  </x:si>
  <x:si>
    <x:t xml:space="preserve">Lista general y específica vigente con valores esperados aprobados</x:t>
  </x:si>
  <x:si>
    <x:t xml:space="preserve">Importar y resolver el precio para dos sitios</x:t>
  </x:si>
  <x:si>
    <x:t xml:space="preserve">Se elige la lista correspondiente. Neto OC y estadístico se explican por componentes y versión.</x:t>
  </x:si>
  <x:si>
    <x:t xml:space="preserve">UAT-M03-2</x:t>
  </x:si>
  <x:si>
    <x:t xml:space="preserve">Importación inválida</x:t>
  </x:si>
  <x:si>
    <x:t xml:space="preserve">Archivo con artículo inexistente y descuento mal formado</x:t>
  </x:si>
  <x:si>
    <x:t xml:space="preserve">Importar y corregir el archivo</x:t>
  </x:si>
  <x:si>
    <x:t xml:space="preserve">Se identifican las filas rechazadas. No se publica una versión parcial sin el tratamiento explícitamente aprobado.</x:t>
  </x:si>
  <x:si>
    <x:t xml:space="preserve">UAT-M04-1</x:t>
  </x:si>
  <x:si>
    <x:t xml:space="preserve">Propuesta explicable</x:t>
  </x:si>
  <x:si>
    <x:t xml:space="preserve">Corte con demanda, stock y lista certificados</x:t>
  </x:si>
  <x:si>
    <x:t xml:space="preserve">Generar, revisar un artículo y ajustar con motivo</x:t>
  </x:si>
  <x:si>
    <x:t xml:space="preserve">Se identifican entradas y versión. El ajuste conserva autor y motivo. La aprobación respeta la política acordada.</x:t>
  </x:si>
  <x:si>
    <x:t xml:space="preserve">UAT-M04-2</x:t>
  </x:si>
  <x:si>
    <x:t xml:space="preserve">Entrada crítica ausente</x:t>
  </x:si>
  <x:si>
    <x:t xml:space="preserve">Par de prueba sin un parámetro necesario</x:t>
  </x:si>
  <x:si>
    <x:t xml:space="preserve">Generar propuesta y consultar la excepción</x:t>
  </x:si>
  <x:si>
    <x:t xml:space="preserve">Se bloquea o excluye según política explícita aprobada. Nunca se presenta un resultado incompleto como válido.</x:t>
  </x:si>
  <x:si>
    <x:t xml:space="preserve">UAT-M05-1</x:t>
  </x:si>
  <x:si>
    <x:t xml:space="preserve">OC aprobada a SGM</x:t>
  </x:si>
  <x:si>
    <x:t xml:space="preserve">Comprador/aprobador distintos y OC con cálculo esperado</x:t>
  </x:si>
  <x:si>
    <x:t xml:space="preserve">Generar, aprobar, transmitir y conciliar</x:t>
  </x:si>
  <x:si>
    <x:t xml:space="preserve">Cabecera y líneas coinciden con la versión aprobada. Identificadores vinculados y acuse funcional registrado. SGM no requiere segunda autorización de una OC aprobada en Connexa.</x:t>
  </x:si>
  <x:si>
    <x:t xml:space="preserve">UAT-M05-2</x:t>
  </x:si>
  <x:si>
    <x:t xml:space="preserve">Reintento de integración</x:t>
  </x:si>
  <x:si>
    <x:t xml:space="preserve">OC ya transmitida con acuse perdido en entorno de prueba</x:t>
  </x:si>
  <x:si>
    <x:t xml:space="preserve">Repetir por procedimiento autorizado y consultar destino</x:t>
  </x:si>
  <x:si>
    <x:t xml:space="preserve">Se recupera el estado de una única OC. No hay doble documento ni doble comunicación al proveedor.</x:t>
  </x:si>
  <x:si>
    <x:t xml:space="preserve">UAT-M06-1</x:t>
  </x:si>
  <x:si>
    <x:t xml:space="preserve">Recepción parcial y diferencia</x:t>
  </x:si>
  <x:si>
    <x:t xml:space="preserve">Documento conocido y cantidades físicas certificadas</x:t>
  </x:si>
  <x:si>
    <x:t xml:space="preserve">Recibir parte, registrar diferencia y conciliar</x:t>
  </x:si>
  <x:si>
    <x:t xml:space="preserve">Se registra lo efectivamente recibido y el motivo. Pendiente e impacto se corresponden con el contrato aprobado.</x:t>
  </x:si>
  <x:si>
    <x:t xml:space="preserve">UAT-M06-2</x:t>
  </x:si>
  <x:si>
    <x:t xml:space="preserve">Falla y recuperación PDA</x:t>
  </x:si>
  <x:si>
    <x:t xml:space="preserve">Recepción preparada y comunicación interrumpida en TEST</x:t>
  </x:si>
  <x:si>
    <x:t xml:space="preserve">Recuperar comunicación y seguir el runbook</x:t>
  </x:si>
  <x:si>
    <x:t xml:space="preserve">Una sola recepción efectiva. Operador identifica estado, pendiente y acción autorizada.</x:t>
  </x:si>
  <x:si>
    <x:t xml:space="preserve">UAT-M07-1</x:t>
  </x:si>
  <x:si>
    <x:t xml:space="preserve">Conteo y ajuste autorizado</x:t>
  </x:si>
  <x:si>
    <x:t xml:space="preserve">Stock inicial, conteo independiente y roles segregados</x:t>
  </x:si>
  <x:si>
    <x:t xml:space="preserve">Contar, recontar, aprobar e integrar el ajuste</x:t>
  </x:si>
  <x:si>
    <x:t xml:space="preserve">La diferencia coincide con el esperado. Un único ajuste deja autor, aprobador y estados antes/después.</x:t>
  </x:si>
  <x:si>
    <x:t xml:space="preserve">UAT-M07-2</x:t>
  </x:si>
  <x:si>
    <x:t xml:space="preserve">Permiso de ajuste</x:t>
  </x:si>
  <x:si>
    <x:t xml:space="preserve">Usuario de conteo sin facultad de aprobación</x:t>
  </x:si>
  <x:si>
    <x:t xml:space="preserve">Intentar aprobar su ajuste fuera de los permisos</x:t>
  </x:si>
  <x:si>
    <x:t xml:space="preserve">La acción se rechaza y audita. Ningún saldo cambia por el intento.</x:t>
  </x:si>
  <x:si>
    <x:t xml:space="preserve">UAT-M08-1</x:t>
  </x:si>
  <x:si>
    <x:t xml:space="preserve">Cobertura Inventory</x:t>
  </x:si>
  <x:si>
    <x:t xml:space="preserve">Scope y políticas leídos nuevamente en ambiente de prueba</x:t>
  </x:si>
  <x:si>
    <x:t xml:space="preserve">Ejecutar preflight y verificar casos incompletos</x:t>
  </x:si>
  <x:si>
    <x:t xml:space="preserve">Estado y exclusiones concuerdan con controles vigentes. Se conserva evidencia y dueño de corrección.</x:t>
  </x:si>
  <x:si>
    <x:t xml:space="preserve">UAT-M08-2</x:t>
  </x:si>
  <x:si>
    <x:t xml:space="preserve">Necesidad dirigida y backlog</x:t>
  </x:si>
  <x:si>
    <x:t xml:space="preserve">Par válido y necesidad E/C/A aprobada de prueba</x:t>
  </x:si>
  <x:si>
    <x:t xml:space="preserve">Ejecutar flujo incluido y revisar snapshot/backlog</x:t>
  </x:si>
  <x:si>
    <x:t xml:space="preserve">La necesidad conserva aprobación, prioridad y trazabilidad. No se crea una reserva o viaje por inferencia.</x:t>
  </x:si>
  <x:si>
    <x:t xml:space="preserve">UAT-M09-1</x:t>
  </x:si>
  <x:si>
    <x:t xml:space="preserve">Transferencia a Valkimia/SGM</x:t>
  </x:si>
  <x:si>
    <x:t xml:space="preserve">Contrato mínimo o formato Excel validado por las contrapartes</x:t>
  </x:si>
  <x:si>
    <x:t xml:space="preserve">Generar, exportar/transmitir, confirmar y conciliar</x:t>
  </x:si>
  <x:si>
    <x:t xml:space="preserve">Identificadores, cantidades y estados coherentes. Evidencia de aceptación de destino.</x:t>
  </x:si>
  <x:si>
    <x:t xml:space="preserve">UAT-M09-2</x:t>
  </x:si>
  <x:si>
    <x:t xml:space="preserve">Retorno parcial y reintento</x:t>
  </x:si>
  <x:si>
    <x:t xml:space="preserve">Documento de prueba con despacho parcial y esperado acordado</x:t>
  </x:si>
  <x:si>
    <x:t xml:space="preserve">Recibir retorno, consultar saldo y repetir por procedimiento</x:t>
  </x:si>
  <x:si>
    <x:t xml:space="preserve">Saldo y pendiente coinciden. No se duplica movimiento ni se presume redespacho sin contrato.</x:t>
  </x:si>
  <x:si>
    <x:t xml:space="preserve">UAT-M10-1</x:t>
  </x:si>
  <x:si>
    <x:t xml:space="preserve">Conciliación de stock y pendiente</x:t>
  </x:si>
  <x:si>
    <x:t xml:space="preserve">Foto SGM certificada y movimiento de prueba trazable</x:t>
  </x:si>
  <x:si>
    <x:t xml:space="preserve">Comparar origen, destino, corte y resultado</x:t>
  </x:si>
  <x:si>
    <x:t xml:space="preserve">Diferencias identificadas por causa. Se conserva SGM como autoridad durante etapa 1.</x:t>
  </x:si>
  <x:si>
    <x:t xml:space="preserve">UAT-M10-2</x:t>
  </x:si>
  <x:si>
    <x:t xml:space="preserve">Alerta y recuperación</x:t>
  </x:si>
  <x:si>
    <x:t xml:space="preserve">Falla controlada y canal de atención habilitado</x:t>
  </x:si>
  <x:si>
    <x:t xml:space="preserve">Detectar, clasificar, recuperar y conciliar</x:t>
  </x:si>
  <x:si>
    <x:t xml:space="preserve">Responsables reciben y atienden la alerta. Recuperación confirma documentos y saldos antes de reanudar.</x:t>
  </x:si>
  <x:si>
    <x:t xml:space="preserve">UAT-E2E-01</x:t>
  </x:si>
  <x:si>
    <x:t xml:space="preserve">Catálogo a OC conciliada</x:t>
  </x:si>
  <x:si>
    <x:t xml:space="preserve">Módulos M01 a M05 incluidos, datos certificados y esperado aprobado</x:t>
  </x:si>
  <x:si>
    <x:t xml:space="preserve">Aplicar dato, surtido, lista, propuesta y OC. Aprobar y verificar SGM</x:t>
  </x:si>
  <x:si>
    <x:t xml:space="preserve">Identidad, elegibilidad, cantidad y valor coherentes de extremo a extremo. Una única OC vinculada.</x:t>
  </x:si>
  <x:si>
    <x:t xml:space="preserve">UAT-E2E-02</x:t>
  </x:si>
  <x:si>
    <x:t xml:space="preserve">Contingencia y recuperación</x:t>
  </x:si>
  <x:si>
    <x:t xml:space="preserve">Punto de interrupción controlado en TEST, autorización de IT y esperado</x:t>
  </x:si>
  <x:si>
    <x:t xml:space="preserve">Interrumpir interfaz, abrir ticket, recuperar y conciliar documentos en vuelo</x:t>
  </x:si>
  <x:si>
    <x:t xml:space="preserve">No hay pérdida ni duplicación. Saldo y documentos conciliados antes de reanudar.</x:t>
  </x:si>
  <x:si>
    <x:t xml:space="preserve">UAT-SEG-01</x:t>
  </x:si>
  <x:si>
    <x:t xml:space="preserve">Permisos y segregación</x:t>
  </x:si>
  <x:si>
    <x:t xml:space="preserve">Matriz de permisos aprobada, usuario autorizado y usuario sin facultad</x:t>
  </x:si>
  <x:si>
    <x:t xml:space="preserve">Ejecutar alta/aprobación con ambos usuarios en el circuito incluido</x:t>
  </x:si>
  <x:si>
    <x:t xml:space="preserve">Sólo el autorizado puede actuar. Intentos indebidos se rechazan y auditan.</x:t>
  </x:si>
  <x:si>
    <x:t xml:space="preserve">UAT-SOP-01</x:t>
  </x:si>
  <x:si>
    <x:t xml:space="preserve">Simulacro de soporte</x:t>
  </x:si>
  <x:si>
    <x:t xml:space="preserve">Mesa de ayuda, IT, referente y L2 identificados con horario acordado</x:t>
  </x:si>
  <x:si>
    <x:t xml:space="preserve">Registrar problema, clasificar, derivar, comunicar y confirmar solución</x:t>
  </x:si>
  <x:si>
    <x:t xml:space="preserve">Ticket conserva dueño, tiempos y evidencia. Usuario confirma recuperación y actualización de FAQ.</x:t>
  </x:si>
  <x:si>
    <x:t xml:space="preserve">SMK-01</x:t>
  </x:si>
  <x:si>
    <x:t xml:space="preserve">Smoke de flujo productivo controlado</x:t>
  </x:si>
  <x:si>
    <x:t xml:space="preserve">Módulo incluido, versión y usuarios habilitados, control de efectos externos</x:t>
  </x:si>
  <x:si>
    <x:t xml:space="preserve">Ingresar con rol, consultar dato vigente, recorrer flujo mínimo, calcular/guardar y verificar estado/acuse autorizado</x:t>
  </x:si>
  <x:si>
    <x:t xml:space="preserve">Flujo mínimo operativo y trazable. No duplica documentos ni comunica al proveedor desde dos sistemas. No equivale a UAT completo.</x:t>
  </x:si>
  <x:si>
    <x:t xml:space="preserve">UAT-OC-PAR-01</x:t>
  </x:si>
  <x:si>
    <x:t xml:space="preserve">OC valorizada en Connexa y DIARCO/SGM</x:t>
  </x:si>
  <x:si>
    <x:t xml:space="preserve">Misma OC vinculada, corte/lista/versiones y cálculo independiente aprobados</x:t>
  </x:si>
  <x:si>
    <x:t xml:space="preserve">Comparar cabecera y cada línea: unidad, cantidad, precio, descuentos, internos, IVA, redondeos y total</x:t>
  </x:si>
  <x:si>
    <x:t xml:space="preserve">Diferencia por campo registrada. Cumple tolerancias aprobadas. DIARCO/SGM sigue válido durante paralelo.</x:t>
  </x:si>
  <x:si>
    <x:t xml:space="preserve">UAT-OC-PAR-02</x:t>
  </x:si>
  <x:si>
    <x:t xml:space="preserve">Diferencia de valorización fuera de tolerancia</x:t>
  </x:si>
  <x:si>
    <x:t xml:space="preserve">OC de prueba con desvío controlado, sin efecto sobre proveedor</x:t>
  </x:si>
  <x:si>
    <x:t xml:space="preserve">Comparar, registrar causa/dueño, corregir configuración o dato y repetir</x:t>
  </x:si>
  <x:si>
    <x:t xml:space="preserve">No se acepta el módulo por coincidencia parcial o por totales compensados. No se sobreescribe la información oficial para hacer coincidir resultados.</x:t>
  </x:si>
  <x:si>
    <x:t xml:space="preserve">UAT-M05-3</x:t>
  </x:si>
  <x:si>
    <x:t xml:space="preserve">OC madre e hija por PDA</x:t>
  </x:si>
  <x:si>
    <x:t xml:space="preserve">Madre y esperado de saldo/vigencia aprobados. Recepción y usuario autorizados</x:t>
  </x:si>
  <x:si>
    <x:t xml:space="preserve">Recibir parcialmente, generar hija, conciliar saldo y probar sobre-recepción</x:t>
  </x:si>
  <x:si>
    <x:t xml:space="preserve">Hija ligada a madre por cantidad recibida. Saldo consume una vez. Exceso bloqueado. Sin duplicar recepción.</x:t>
  </x:si>
  <x:si>
    <x:t xml:space="preserve">UAT-M09-3</x:t>
  </x:si>
  <x:si>
    <x:t xml:space="preserve">Redespacho prioritario sin doble preparación</x:t>
  </x:si>
  <x:si>
    <x:t xml:space="preserve">Contrato VKM acordado para preparado/despachado/no preparado</x:t>
  </x:si>
  <x:si>
    <x:t xml:space="preserve">Procesar retorno parcial y validar el pendiente/redespacho</x:t>
  </x:si>
  <x:si>
    <x:t xml:space="preserve">La mercadería preparada no despachada conserva identidad y prioridad definida. No se vuelve a preparar por duplicación.</x:t>
  </x:si>
  <x:si>
    <x:t xml:space="preserve">UAT-M05-4</x:t>
  </x:si>
  <x:si>
    <x:t xml:space="preserve">Recepciones simultáneas contra OC madre</x:t>
  </x:si>
  <x:si>
    <x:t xml:space="preserve">Madre con saldo limitado y dos sucursales/operadores de prueba</x:t>
  </x:si>
  <x:si>
    <x:t xml:space="preserve">Intentar consumos simultáneos cuya suma supera saldo</x:t>
  </x:si>
  <x:si>
    <x:t xml:space="preserve">Nunca se excede cantidad autorizada. Ganador/rechazo son trazables y reintentar no duplica consumo.</x:t>
  </x:si>
  <x:si>
    <x:t xml:space="preserve">UAT-M06-3</x:t>
  </x:si>
  <x:si>
    <x:t xml:space="preserve">Devolución/decomiso con autorización y remito SGM</x:t>
  </x:si>
  <x:si>
    <x:t xml:space="preserve">Documento, causa, permisos y esperado aprobados</x:t>
  </x:si>
  <x:si>
    <x:t xml:space="preserve">Registrar, autorizar, sincronizar y consultar procesamiento final SGM</x:t>
  </x:si>
  <x:si>
    <x:t xml:space="preserve">Movimiento, remito y numeración completos una sola vez. Una fila en staging no se acepta como cierre.</x:t>
  </x:si>
  <x:si>
    <x:t xml:space="preserve">UAT-M07-3</x:t>
  </x:si>
  <x:si>
    <x:t xml:space="preserve">Foto inicial y salida de inventario</x:t>
  </x:si>
  <x:si>
    <x:t xml:space="preserve">Movimientos pendientes regularizados, mapa/QR y stock SGM de corte</x:t>
  </x:si>
  <x:si>
    <x:t xml:space="preserve">Cargar base, contar con PDA, cerrar, exportar y aplicar según procedimiento</x:t>
  </x:si>
  <x:si>
    <x:t xml:space="preserve">Correspondencia de artículo/ubicación y diferencia explicable. Aplicación en SGM validada por rol autorizado.</x:t>
  </x:si>
  <x:si>
    <x:t xml:space="preserve">UAT-M10-3</x:t>
  </x:si>
  <x:si>
    <x:t xml:space="preserve">OC/transferencias actualizadas tras reconexión</x:t>
  </x:si>
  <x:si>
    <x:t xml:space="preserve">Sincronización habilitada con ventana y latencia acordadas</x:t>
  </x:si>
  <x:si>
    <x:t xml:space="preserve">Cambiar documento de prueba, observar destino y ejecutar carga periódica controlada</x:t>
  </x:si>
  <x:si>
    <x:t xml:space="preserve">Destino se actualiza dentro del acuerdo. Carga posterior no pisa estado válido ni reabre pendientes cerrados.</x:t>
  </x:si>
  <x:si>
    <x:t xml:space="preserve">Comparación de OC valorizada</x:t>
  </x:si>
  <x:si>
    <x:t xml:space="preserve">Duplicar el bloque por OC y línea. El total no compensa diferencias de detalle. DIARCO/SGM mantiene validez en paralelo.</x:t>
  </x:si>
  <x:si>
    <x:t xml:space="preserve">OC / ejecución</x:t>
  </x:si>
  <x:si>
    <x:t xml:space="preserve">Línea / campo</x:t>
  </x:si>
  <x:si>
    <x:t xml:space="preserve">Connexa</x:t>
  </x:si>
  <x:si>
    <x:t xml:space="preserve">DIARCO / SGM (válido)</x:t>
  </x:si>
  <x:si>
    <x:t xml:space="preserve">Esperado independiente</x:t>
  </x:si>
  <x:si>
    <x:t xml:space="preserve">Tolerancia acordada</x:t>
  </x:si>
  <x:si>
    <x:t xml:space="preserve">Diferencia / causa</x:t>
  </x:si>
  <x:si>
    <x:t xml:space="preserve">Responsable</x:t>
  </x:si>
  <x:si>
    <x:t xml:space="preserve">Fecha comparación</x:t>
  </x:si>
  <x:si>
    <x:t xml:space="preserve">Proveedor</x:t>
  </x:si>
  <x:si>
    <x:t xml:space="preserve">Sucursal</x:t>
  </x:si>
  <x:si>
    <x:t xml:space="preserve">Fecha OC / corte</x:t>
  </x:si>
  <x:si>
    <x:t xml:space="preserve">Lista / versión</x:t>
  </x:si>
  <x:si>
    <x:t xml:space="preserve">Moneda</x:t>
  </x:si>
  <x:si>
    <x:t xml:space="preserve">Unidad de compra</x:t>
  </x:si>
  <x:si>
    <x:t xml:space="preserve">Artículo / línea</x:t>
  </x:si>
  <x:si>
    <x:t xml:space="preserve">Precio lista</x:t>
  </x:si>
  <x:si>
    <x:t xml:space="preserve">Descuento / orden de aplicación</x:t>
  </x:si>
  <x:si>
    <x:t xml:space="preserve">Neto OC</x:t>
  </x:si>
  <x:si>
    <x:t xml:space="preserve">Impuestos internos</x:t>
  </x:si>
  <x:si>
    <x:t xml:space="preserve">IVA</x:t>
  </x:si>
  <x:si>
    <x:t xml:space="preserve">Redondeo por línea</x:t>
  </x:si>
  <x:si>
    <x:t xml:space="preserve">Subtotal / total</x:t>
  </x:si>
  <x:si>
    <x:t xml:space="preserve">Estado aprobado</x:t>
  </x:si>
  <x:si>
    <x:t xml:space="preserve">Identificador Connexa–SGM</x:t>
  </x:si>
  <x:si>
    <x:t xml:space="preserve">Emisor único al proveedor</x:t>
  </x:si>
  <x:si>
    <x:t xml:space="preserve">Competencia y formación en cascada</x:t>
  </x:si>
  <x:si>
    <x:t xml:space="preserve">Agregar usuarios finales por rol. Asistencia y aptitud son registros distintos.</x:t>
  </x:si>
  <x:si>
    <x:t xml:space="preserve">Rol</x:t>
  </x:si>
  <x:si>
    <x:t xml:space="preserve">Persona</x:t>
  </x:si>
  <x:si>
    <x:t xml:space="preserve">Qué debe demostrar</x:t>
  </x:si>
  <x:si>
    <x:t xml:space="preserve">Versión / material</x:t>
  </x:si>
  <x:si>
    <x:t xml:space="preserve">Fecha evaluación</x:t>
  </x:si>
  <x:si>
    <x:t xml:space="preserve">Resultado</x:t>
  </x:si>
  <x:si>
    <x:t xml:space="preserve">Brecha / acción</x:t>
  </x:si>
  <x:si>
    <x:t xml:space="preserve">Evaluador</x:t>
  </x:si>
  <x:si>
    <x:t xml:space="preserve">Fecha reprueba</x:t>
  </x:si>
  <x:si>
    <x:t xml:space="preserve">Titular</x:t>
  </x:si>
  <x:si>
    <x:t xml:space="preserve">No evaluado</x:t>
  </x:si>
  <x:si>
    <x:t xml:space="preserve">Suplente</x:t>
  </x:si>
  <x:si>
    <x:t xml:space="preserve">Decisiones del equipo y Dirección</x:t>
  </x:si>
  <x:si>
    <x:t xml:space="preserve">El silencio no aprueba. Estado Resuelto requiere contenido, decisor, fecha y evidencia.</x:t>
  </x:si>
  <x:si>
    <x:t xml:space="preserve">Decisión requerida</x:t>
  </x:si>
  <x:si>
    <x:t xml:space="preserve">Criterio / contenido</x:t>
  </x:si>
  <x:si>
    <x:t xml:space="preserve">Decisión registrada</x:t>
  </x:si>
  <x:si>
    <x:t xml:space="preserve">Nombre decisor</x:t>
  </x:si>
  <x:si>
    <x:t xml:space="preserve">Fecha decisión</x:t>
  </x:si>
  <x:si>
    <x:t xml:space="preserve">D01</x:t>
  </x:si>
  <x:si>
    <x:t xml:space="preserve">Detalle B1, GAPS y módulos que entran en paralelo el 04/11</x:t>
  </x:si>
  <x:si>
    <x:t xml:space="preserve">30/10 preparación; 02/11 decisión</x:t>
  </x:si>
  <x:si>
    <x:t xml:space="preserve">Sin decidir</x:t>
  </x:si>
  <x:si>
    <x:t xml:space="preserve">Listado final versionado y dueño de cada decisión</x:t>
  </x:si>
  <x:si>
    <x:t xml:space="preserve">S01; S04; S05; S06</x:t>
  </x:si>
  <x:si>
    <x:t xml:space="preserve">D02</x:t>
  </x:si>
  <x:si>
    <x:t xml:space="preserve">Sponsor y líder DIARCO con facultades</x:t>
  </x:si>
  <x:si>
    <x:t xml:space="preserve">02/11</x:t>
  </x:si>
  <x:si>
    <x:t xml:space="preserve">Nombre, suplente y autoridad explícita</x:t>
  </x:si>
  <x:si>
    <x:t xml:space="preserve">S01; S09</x:t>
  </x:si>
  <x:si>
    <x:t xml:space="preserve">D03</x:t>
  </x:si>
  <x:si>
    <x:t xml:space="preserve">Titulares, suplentes y horas por módulo</x:t>
  </x:si>
  <x:si>
    <x:t xml:space="preserve">Persona y jefatura aceptan dedicación protegida</x:t>
  </x:si>
  <x:si>
    <x:t xml:space="preserve">D04</x:t>
  </x:si>
  <x:si>
    <x:t xml:space="preserve">Mesa de ayuda e IT con cobertura</x:t>
  </x:si>
  <x:si>
    <x:t xml:space="preserve">D05</x:t>
  </x:si>
  <x:si>
    <x:t xml:space="preserve">Población, ciclos y duración del paralelo desde 04/11</x:t>
  </x:si>
  <x:si>
    <x:t xml:space="preserve">Antes del 04/11</x:t>
  </x:si>
  <x:si>
    <x:t xml:space="preserve">Módulos, sitios, usuarios, proveedores, ciclos y exclusiones</x:t>
  </x:si>
  <x:si>
    <x:t xml:space="preserve">S09</x:t>
  </x:si>
  <x:si>
    <x:t xml:space="preserve">D06</x:t>
  </x:si>
  <x:si>
    <x:t xml:space="preserve">Control de paralelo: autoridad DIARCO/SGM y emisor único</x:t>
  </x:si>
  <x:si>
    <x:t xml:space="preserve">SGM conserva validez. Definir cómo comparar/reconciliar sin doble efecto ni envío al proveedor.</x:t>
  </x:si>
  <x:si>
    <x:t xml:space="preserve">S05; S09</x:t>
  </x:si>
  <x:si>
    <x:t xml:space="preserve">D07</x:t>
  </x:si>
  <x:si>
    <x:t xml:space="preserve">Reglas pendientes de compra y OC madre</x:t>
  </x:si>
  <x:si>
    <x:t xml:space="preserve">Antes del caso asociado</x:t>
  </x:si>
  <x:si>
    <x:t xml:space="preserve">Aprobación única documentada. Confirmar umbral automático, vigencia y cierre de OC madre/abierta según S16/S17.</x:t>
  </x:si>
  <x:si>
    <x:t xml:space="preserve">D08</x:t>
  </x:si>
  <x:si>
    <x:t xml:space="preserve">Cadencia, escalación y gates</x:t>
  </x:si>
  <x:si>
    <x:t xml:space="preserve">Plazos de decisión, evidencia y responsables de go/no-go</x:t>
  </x:si>
  <x:si>
    <x:t xml:space="preserve">D09</x:t>
  </x:si>
  <x:si>
    <x:t xml:space="preserve">Horario y objetivos soporte L1/L2</x:t>
  </x:si>
  <x:si>
    <x:t xml:space="preserve">Acuerdo DIARCO/Zeetrex, sin presumir servicio 24x7</x:t>
  </x:si>
  <x:si>
    <x:t xml:space="preserve">D10</x:t>
  </x:si>
  <x:si>
    <x:t xml:space="preserve">Criterio de aceptación OC valorizada y tolerancias</x:t>
  </x:si>
  <x:si>
    <x:t xml:space="preserve">Comparar campos y cálculo esperado independiente. Tolerancias aprobadas antes de ejecutar.</x:t>
  </x:si>
  <x:si>
    <x:t xml:space="preserve">S13; S09</x:t>
  </x:si>
  <x:si>
    <x:t xml:space="preserve">D11</x:t>
  </x:si>
  <x:si>
    <x:t xml:space="preserve">Evidencia de recuperación y calidad de stock</x:t>
  </x:si>
  <x:si>
    <x:t xml:space="preserve">Antes del paralelo afectado</x:t>
  </x:si>
  <x:si>
    <x:t xml:space="preserve">Obtener resultado de compromisos 26–27/10, pruebas tienda escuela y base conciliada.</x:t>
  </x:si>
  <x:si>
    <x:t xml:space="preserve">D12</x:t>
  </x:si>
  <x:si>
    <x:t xml:space="preserve">Secuencia de primeras sucursales, equipos y acompañamiento</x:t>
  </x:si>
  <x:si>
    <x:t xml:space="preserve">Antes de oleadas PDA</x:t>
  </x:si>
  <x:si>
    <x:t xml:space="preserve">Lista inicial, condición Wi-Fi/PDA por sitio, referentes y cobertura. Sin deducir 43 sucursales listas.</x:t>
  </x:si>
  <x:si>
    <x:t xml:space="preserve">S19</x:t>
  </x:si>
  <x:si>
    <x:t xml:space="preserve">D13</x:t>
  </x:si>
  <x:si>
    <x:t xml:space="preserve">Frontera QX/reposición automática y complejidad de reglas</x:t>
  </x:si>
  <x:si>
    <x:t xml:space="preserve">Antes de confirmar capacidad B1</x:t>
  </x:si>
  <x:si>
    <x:t xml:space="preserve">Conservar sugerido B1. No migrar QX/reposición automática ni acuerdos avanzados por inferencia.</x:t>
  </x:si>
  <x:si>
    <x:t xml:space="preserve">S23; S26</x:t>
  </x:si>
  <x:si>
    <x:t xml:space="preserve">Autorización de avance por población</x:t>
  </x:si>
  <x:si>
    <x:t xml:space="preserve">Duplicar gate por módulo/oleada. Validar umbrales. Smoke se exige antes del paralelo y no reemplaza UAT.</x:t>
  </x:si>
  <x:si>
    <x:t xml:space="preserve">Gate</x:t>
  </x:si>
  <x:si>
    <x:t xml:space="preserve">Criterio propuesto</x:t>
  </x:si>
  <x:si>
    <x:t xml:space="preserve">Evidencia requerida</x:t>
  </x:si>
  <x:si>
    <x:t xml:space="preserve">Módulo / oleada</x:t>
  </x:si>
  <x:si>
    <x:t xml:space="preserve">Decisión</x:t>
  </x:si>
  <x:si>
    <x:t xml:space="preserve">Enlace / reservas</x:t>
  </x:si>
  <x:si>
    <x:t xml:space="preserve">G0</x:t>
  </x:si>
  <x:si>
    <x:t xml:space="preserve">Inicio comprometido</x:t>
  </x:si>
  <x:si>
    <x:t xml:space="preserve">Acta inicial y decisiones D01 a D05/D08</x:t>
  </x:si>
  <x:si>
    <x:t xml:space="preserve">G1</x:t>
  </x:si>
  <x:si>
    <x:t xml:space="preserve">Preparación y UAT</x:t>
  </x:si>
  <x:si>
    <x:t xml:space="preserve">Datos y permisos certificados. 100% casos críticos pasan. Sin defectos críticos/altos abiertos en el circuito.</x:t>
  </x:si>
  <x:si>
    <x:t xml:space="preserve">UAT, casos dorados y ficha de referente</x:t>
  </x:si>
  <x:si>
    <x:t xml:space="preserve">G2</x:t>
  </x:si>
  <x:si>
    <x:t xml:space="preserve">Piloto aceptado</x:t>
  </x:si>
  <x:si>
    <x:t xml:space="preserve">Dos ciclos completos propuestos, uno con excepción. Conciliación sin diferencias críticas. Contingencia y soporte ensayados.</x:t>
  </x:si>
  <x:si>
    <x:t xml:space="preserve">Informe piloto y actas de dueños</x:t>
  </x:si>
  <x:si>
    <x:t xml:space="preserve">G3</x:t>
  </x:si>
  <x:si>
    <x:t xml:space="preserve">Oleada autorizada</x:t>
  </x:si>
  <x:si>
    <x:t xml:space="preserve">Usuarios preparados, soporte cubierto, corte/retorno validado por IT y recomendación conjunta.</x:t>
  </x:si>
  <x:si>
    <x:t xml:space="preserve">Acta go/no-go y bitácora</x:t>
  </x:si>
  <x:si>
    <x:t xml:space="preserve">G4</x:t>
  </x:si>
  <x:si>
    <x:t xml:space="preserve">Operación transferida</x:t>
  </x:si>
  <x:si>
    <x:t xml:space="preserve">Cinco días operativos estables propuestos. L1/titular/suplente demuestran autonomía y pendientes asignados.</x:t>
  </x:si>
  <x:si>
    <x:t xml:space="preserve">Acta de transferencia y métricas</x:t>
  </x:si>
  <x:si>
    <x:t xml:space="preserve">Riesgos y acciones de mitigación</x:t>
  </x:si>
  <x:si>
    <x:t xml:space="preserve">Revisar cada semana y antes de abrir paralelo/oleada.</x:t>
  </x:si>
  <x:si>
    <x:t xml:space="preserve">Riesgo</x:t>
  </x:si>
  <x:si>
    <x:t xml:space="preserve">Dueño rol</x:t>
  </x:si>
  <x:si>
    <x:t xml:space="preserve">Impacto</x:t>
  </x:si>
  <x:si>
    <x:t xml:space="preserve">Señal / disparador</x:t>
  </x:si>
  <x:si>
    <x:t xml:space="preserve">Respuesta propuesta</x:t>
  </x:si>
  <x:si>
    <x:t xml:space="preserve">Decisión vinculada</x:t>
  </x:si>
  <x:si>
    <x:t xml:space="preserve">Dueño nominal</x:t>
  </x:si>
  <x:si>
    <x:t xml:space="preserve">Fecha acción</x:t>
  </x:si>
  <x:si>
    <x:t xml:space="preserve">R01</x:t>
  </x:si>
  <x:si>
    <x:t xml:space="preserve">Personas sin tiempo protegido</x:t>
  </x:si>
  <x:si>
    <x:t xml:space="preserve">Alta</x:t>
  </x:si>
  <x:si>
    <x:t xml:space="preserve">No se ejecutan pruebas en las ventanas pactadas</x:t>
  </x:si>
  <x:si>
    <x:t xml:space="preserve">Asignar horas y suplentes. Reducir módulos concurrentes si falta capacidad.</x:t>
  </x:si>
  <x:si>
    <x:t xml:space="preserve">Abierto</x:t>
  </x:si>
  <x:si>
    <x:t xml:space="preserve">R02</x:t>
  </x:si>
  <x:si>
    <x:t xml:space="preserve">Alcance no conciliado entre septiembre y octubre</x:t>
  </x:si>
  <x:si>
    <x:t xml:space="preserve">Se usa un pedido como compromiso confirmado</x:t>
  </x:si>
  <x:si>
    <x:t xml:space="preserve">Cerrar D01 y registrar cualquier cambio con impacto.</x:t>
  </x:si>
  <x:si>
    <x:t xml:space="preserve">R03</x:t>
  </x:si>
  <x:si>
    <x:t xml:space="preserve">Doble carga o doble envío durante convivencia SGM</x:t>
  </x:si>
  <x:si>
    <x:t xml:space="preserve">Dos sistemas modifican la misma entidad o comunican una OC</x:t>
  </x:si>
  <x:si>
    <x:t xml:space="preserve">Matriz de maestría, emisor único, reintento y conciliación.</x:t>
  </x:si>
  <x:si>
    <x:t xml:space="preserve">R04</x:t>
  </x:si>
  <x:si>
    <x:t xml:space="preserve">IT o mesa de ayuda ausentes hasta el corte</x:t>
  </x:si>
  <x:si>
    <x:t xml:space="preserve">No hay canal, suplente o runbook probado</x:t>
  </x:si>
  <x:si>
    <x:t xml:space="preserve">Incluirlos desde G0 y exigir simulacro antes del piloto.</x:t>
  </x:si>
  <x:si>
    <x:t xml:space="preserve">R05</x:t>
  </x:si>
  <x:si>
    <x:t xml:space="preserve">Aceptación basada en demo/asistencia</x:t>
  </x:si>
  <x:si>
    <x:t xml:space="preserve">Casos sin esperado, ejecutor o evidencia</x:t>
  </x:si>
  <x:si>
    <x:t xml:space="preserve">UAT independiente y práctica individual. Cerrar con firma del dueño.</x:t>
  </x:si>
  <x:si>
    <x:t xml:space="preserve">R06</x:t>
  </x:si>
  <x:si>
    <x:t xml:space="preserve">Proveedor externo bloquea el circuito</x:t>
  </x:si>
  <x:si>
    <x:t xml:space="preserve">Interfaz/acuse no disponible en prueba</x:t>
  </x:si>
  <x:si>
    <x:t xml:space="preserve">Nombrar responsable externo, pactar contrato y alternativa explícita o recortar oleada.</x:t>
  </x:si>
  <x:si>
    <x:t xml:space="preserve">R07</x:t>
  </x:si>
  <x:si>
    <x:t xml:space="preserve">Datos o parámetros incompletos</x:t>
  </x:si>
  <x:si>
    <x:t xml:space="preserve">Cálculo no explicable o exclusiones no revisadas</x:t>
  </x:si>
  <x:si>
    <x:t xml:space="preserve">Certificar datos y remediar con dueño. Revalidar cobertura Inventory cuando aplique.</x:t>
  </x:si>
  <x:si>
    <x:t xml:space="preserve">R08</x:t>
  </x:si>
  <x:si>
    <x:t xml:space="preserve">Fechas históricas interpretadas como compromiso vigente</x:t>
  </x:si>
  <x:si>
    <x:t xml:space="preserve">Se exige corte SGM por fecha sin gates</x:t>
  </x:si>
  <x:si>
    <x:t xml:space="preserve">Rebaselinar por evidencia y capacidad. No apagar por calendario.</x:t>
  </x:si>
  <x:si>
    <x:t xml:space="preserve">R09</x:t>
  </x:si>
  <x:si>
    <x:t xml:space="preserve">Capacitación no llega al resto de usuarios</x:t>
  </x:si>
  <x:si>
    <x:t xml:space="preserve">Media</x:t>
  </x:si>
  <x:si>
    <x:t xml:space="preserve">Sólo referente puede operar</x:t>
  </x:si>
  <x:si>
    <x:t xml:space="preserve">Formación en cascada, evaluación por rol y suplente probado.</x:t>
  </x:si>
  <x:si>
    <x:t xml:space="preserve">R10</x:t>
  </x:si>
  <x:si>
    <x:t xml:space="preserve">Confundir paralelo productivo con nueva autoridad</x:t>
  </x:si>
  <x:si>
    <x:t xml:space="preserve">Se cambia stock/pendiente o se duplica emisión al proveedor durante comparación</x:t>
  </x:si>
  <x:si>
    <x:t xml:space="preserve">SGM válido. Identificación cruzada, emisor único y pruebas de no duplicación.</x:t>
  </x:si>
  <x:si>
    <x:t xml:space="preserve">R11</x:t>
  </x:si>
  <x:si>
    <x:t xml:space="preserve">Stock oficial con movimientos aún no incorporados</x:t>
  </x:si>
  <x:si>
    <x:t xml:space="preserve">Diferencia de inventario se atribuye a merma sin conciliar registros</x:t>
  </x:si>
  <x:si>
    <x:t xml:space="preserve">Separar autoridad SGM de calidad de saldo. Certificar foto inicial y movimientos antes de concluir.</x:t>
  </x:si>
  <x:si>
    <x:t xml:space="preserve">Reserva inicial de agenda por rol</x:t>
  </x:si>
  <x:si>
    <x:t xml:space="preserve">Rangos propuestos, confianza baja. No incluyen operación habitual, guardia ni desplazamiento. No suman personas con roles duplicados.</x:t>
  </x:si>
  <x:si>
    <x:t xml:space="preserve">Código</x:t>
  </x:si>
  <x:si>
    <x:t xml:space="preserve">Organización</x:t>
  </x:si>
  <x:si>
    <x:t xml:space="preserve">Resultado del rol</x:t>
  </x:si>
  <x:si>
    <x:t xml:space="preserve">h/sem mínimo</x:t>
  </x:si>
  <x:si>
    <x:t xml:space="preserve">h/sem máximo</x:t>
  </x:si>
  <x:si>
    <x:t xml:space="preserve">Cantidad personas</x:t>
  </x:si>
  <x:si>
    <x:t xml:space="preserve">Reserva mínima h</x:t>
  </x:si>
  <x:si>
    <x:t xml:space="preserve">Reserva máxima h</x:t>
  </x:si>
  <x:si>
    <x:t xml:space="preserve">Nota</x:t>
  </x:si>
  <x:si>
    <x:t xml:space="preserve">Sponsor DIARCO</x:t>
  </x:si>
  <x:si>
    <x:t xml:space="preserve">Dirección</x:t>
  </x:si>
  <x:si>
    <x:t xml:space="preserve">Priorizar, asignar capacidad, resolver escalaciones y decidir gates globales.</x:t>
  </x:si>
  <x:si>
    <x:t xml:space="preserve">Propuesta no calibrada. Confirmar personas únicas y carga compartida.</x:t>
  </x:si>
  <x:si>
    <x:t xml:space="preserve">Líder implementación DIARCO</x:t>
  </x:si>
  <x:si>
    <x:t xml:space="preserve">DIARCO</x:t>
  </x:si>
  <x:si>
    <x:t xml:space="preserve">Coordinar áreas, disponibilidad, evidencias y acciones internas.</x:t>
  </x:si>
  <x:si>
    <x:t xml:space="preserve">Dueño del proceso por módulo</x:t>
  </x:si>
  <x:si>
    <x:t xml:space="preserve">Decidir reglas, aceptar UAT y asumir el proceso operativo.</x:t>
  </x:si>
  <x:si>
    <x:t xml:space="preserve">Referente titular por módulo</x:t>
  </x:si>
  <x:si>
    <x:t xml:space="preserve">Preparar datos, probar, enseñar y resolver consultas funcionales L1.</x:t>
  </x:si>
  <x:si>
    <x:t xml:space="preserve">SU</x:t>
  </x:si>
  <x:si>
    <x:t xml:space="preserve">Suplente de referente por módulo</x:t>
  </x:si>
  <x:si>
    <x:t xml:space="preserve">Practicar, sustituir al titular y demostrar autonomía.</x:t>
  </x:si>
  <x:si>
    <x:t xml:space="preserve">Usuarios piloto por módulo</x:t>
  </x:si>
  <x:si>
    <x:t xml:space="preserve">Ejecutar casos y operación real. Registrar dificultades y resultados.</x:t>
  </x:si>
  <x:si>
    <x:t xml:space="preserve">Líder mesa de ayuda</x:t>
  </x:si>
  <x:si>
    <x:t xml:space="preserve">Registrar, clasificar, comunicar y seguir tickets hasta confirmar cierre.</x:t>
  </x:si>
  <x:si>
    <x:t xml:space="preserve">Líder IT DIARCO</x:t>
  </x:si>
  <x:si>
    <x:t xml:space="preserve">Accesos, conectividad, operación técnica local y coordinación de incidentes.</x:t>
  </x:si>
  <x:si>
    <x:t xml:space="preserve">Líder implementación Zeetrex</x:t>
  </x:si>
  <x:si>
    <x:t xml:space="preserve">Zeetrex</x:t>
  </x:si>
  <x:si>
    <x:t xml:space="preserve">Plan integrado, dependencias, riesgos y coordinación de entrega.</x:t>
  </x:si>
  <x:si>
    <x:t xml:space="preserve">Consultor funcional Zeetrex</x:t>
  </x:si>
  <x:si>
    <x:t xml:space="preserve">Configurar, formar, asistir UAT y transferir conocimiento.</x:t>
  </x:si>
  <x:si>
    <x:t xml:space="preserve">Líder técnico/soporte L2 Zeetrex</x:t>
  </x:si>
  <x:si>
    <x:t xml:space="preserve">Correcciones, integración, diagnóstico y escalamiento técnico.</x:t>
  </x:si>
  <x:si>
    <x:t xml:space="preserve">Responsable de sistema tercero</x:t>
  </x:si>
  <x:si>
    <x:t xml:space="preserve">A designar</x:t>
  </x:si>
  <x:si>
    <x:t xml:space="preserve">Cumplir su interfaz y participar de pruebas/recuperación cuando aplique.</x:t>
  </x:si>
  <x:si>
    <x:t xml:space="preserve">Equipo directivo y funciones propuestas</x:t>
  </x:si>
  <x:si>
    <x:t xml:space="preserve">Cargos informados por usuario. Las funciones de proyecto requieren acuerdo.</x:t>
  </x:si>
  <x:si>
    <x:t xml:space="preserve">Cargo informado</x:t>
  </x:si>
  <x:si>
    <x:t xml:space="preserve">Función propuesta</x:t>
  </x:si>
  <x:si>
    <x:t xml:space="preserve">Facultad por acordar</x:t>
  </x:si>
  <x:si>
    <x:t xml:space="preserve">Pablo Bertolissio</x:t>
  </x:si>
  <x:si>
    <x:t xml:space="preserve">Gerente General DIARCO</x:t>
  </x:si>
  <x:si>
    <x:t xml:space="preserve">Sponsor operativo DIARCO (SP)</x:t>
  </x:si>
  <x:si>
    <x:t xml:space="preserve">Propuesta a confirmar</x:t>
  </x:si>
  <x:si>
    <x:t xml:space="preserve">Prioridad, capacidad interna y gates operativos</x:t>
  </x:si>
  <x:si>
    <x:t xml:space="preserve">Roberto Goldfarb</x:t>
  </x:si>
  <x:si>
    <x:t xml:space="preserve">Owner DIARCO</x:t>
  </x:si>
  <x:si>
    <x:t xml:space="preserve">Patrocinio institucional y escalación estratégica</x:t>
  </x:si>
  <x:si>
    <x:t xml:space="preserve">Respaldo de transformación y conflictos de prioridad de compañía</x:t>
  </x:si>
  <x:si>
    <x:t xml:space="preserve">Daniel Padin</x:t>
  </x:si>
  <x:si>
    <x:t xml:space="preserve">CEO Zeetrex</x:t>
  </x:si>
  <x:si>
    <x:t xml:space="preserve">Sponsor ejecutivo Zeetrex</x:t>
  </x:si>
  <x:si>
    <x:t xml:space="preserve">Compromiso de entrega, recursos y escalación de Zeetrex</x:t>
  </x:si>
  <x:si>
    <x:t xml:space="preserve">Guillermo Añaños</x:t>
  </x:si>
  <x:si>
    <x:t xml:space="preserve">CIO DIARCO</x:t>
  </x:si>
  <x:si>
    <x:t xml:space="preserve">Equipo de Dirección de DIARCO Provisto poro Zeetrex</x:t>
  </x:si>
  <x:si>
    <x:t xml:space="preserve">Disponibilzar Recursos de IT de DIARCO</x:t>
  </x:si>
  <x:si>
    <x:t xml:space="preserve">Eduardo Ettlin</x:t>
  </x:si>
  <x:si>
    <x:t xml:space="preserve">CTSO Zeetrex</x:t>
  </x:si>
  <x:si>
    <x:t xml:space="preserve">Líder implementación Zeetrex (LZ)</x:t>
  </x:si>
  <x:si>
    <x:t xml:space="preserve">Plan integrado y coordinación de ejecución</x:t>
  </x:si>
  <x:si>
    <x:t xml:space="preserve">Pablo Duplessy</x:t>
  </x:si>
  <x:si>
    <x:t xml:space="preserve">Change Management Zeetrex</x:t>
  </x:si>
  <x:si>
    <x:t xml:space="preserve">Gestión del Cambio Zeetrex (CMZ)</x:t>
  </x:si>
  <x:si>
    <x:t xml:space="preserve">Coordinar Capacitación, Entrenamiento, Ciclos de Prueba, Adopción</x:t>
  </x:si>
  <x:si>
    <x:t xml:space="preserve">Alejandro Ledesma / Eduardo Ettlin</x:t>
  </x:si>
  <x:si>
    <x:t xml:space="preserve">DESARROLLO Zeetrex</x:t>
  </x:si>
  <x:si>
    <x:t xml:space="preserve">Autoridad técnica y coordinación L2 (ZT)</x:t>
  </x:si>
  <x:si>
    <x:t xml:space="preserve">Arquitectura, integraciones y decisiones técnicas</x:t>
  </x:si>
  <x:si>
    <x:t xml:space="preserve">Fuentes y precedencia</x:t>
  </x:si>
  <x:si>
    <x:t xml:space="preserve">Precedencia: instrucciones del usuario (04/11 y convivencia), IMPLEMENTACION/Estrategia, detalle reuniones. Fechas históricas no certifican ejecución.</x:t>
  </x:si>
  <x:si>
    <x:t xml:space="preserve">Fuente</x:t>
  </x:si>
  <x:si>
    <x:t xml:space="preserve">Corte</x:t>
  </x:si>
  <x:si>
    <x:t xml:space="preserve">Uso / límites</x:t>
  </x:si>
  <x:si>
    <x:t xml:space="preserve">Ubicación</x:t>
  </x:si>
  <x:si>
    <x:t xml:space="preserve">S01</x:t>
  </x:si>
  <x:si>
    <x:t xml:space="preserve">Solicitud del usuario</x:t>
  </x:si>
  <x:si>
    <x:t xml:space="preserve">29/10/2026</x:t>
  </x:si>
  <x:si>
    <x:t xml:space="preserve">Necesidad de compromiso DIARCO, referentes, WBS, formación, UAT y soporte.</x:t>
  </x:si>
  <x:si>
    <x:t xml:space="preserve">Conversación de trabajo</x:t>
  </x:si>
  <x:si>
    <x:t xml:space="preserve">S02</x:t>
  </x:si>
  <x:si>
    <x:t xml:space="preserve">Metodología Connexa v0.1</x:t>
  </x:si>
  <x:si>
    <x:t xml:space="preserve">27/07/2026</x:t>
  </x:si>
  <x:si>
    <x:t xml:space="preserve">Antecedente aprobado según sus metadatos. Duraciones sin calibrar.</x:t>
  </x:si>
  <x:si>
    <x:t xml:space="preserve">CONNEXA_FRAMEWORK/docs/20-metodologia-implementacion/00-metodologia-implementacion-v0.md</x:t>
  </x:si>
  <x:si>
    <x:t xml:space="preserve">S03</x:t>
  </x:si>
  <x:si>
    <x:t xml:space="preserve">Artefactos y criterios de salida</x:t>
  </x:si>
  <x:si>
    <x:t xml:space="preserve">Borrador de referencia. Cierre mediante evidencia y validación.</x:t>
  </x:si>
  <x:si>
    <x:t xml:space="preserve">CONNEXA_FRAMEWORK/docs/20-metodologia-implementacion/03-artefactos-y-criterios-de-salida.md</x:t>
  </x:si>
  <x:si>
    <x:t xml:space="preserve">S04</x:t>
  </x:si>
  <x:si>
    <x:t xml:space="preserve">Informe ejecutivo WBS septiembre</x:t>
  </x:si>
  <x:si>
    <x:t xml:space="preserve">21/09/2026</x:t>
  </x:si>
  <x:si>
    <x:t xml:space="preserve">Antecedente histórico. Porcentajes y fechas no verifican preparación actual.</x:t>
  </x:si>
  <x:si>
    <x:t xml:space="preserve">https://docs.google.com/document/d/1rhQI7f-sLXPjlrbATOFqlTWYBZ4-4esDDBgchhGvwXA/edit</x:t>
  </x:si>
  <x:si>
    <x:t xml:space="preserve">S05</x:t>
  </x:si>
  <x:si>
    <x:t xml:space="preserve">Reunión Plan Despliegue</x:t>
  </x:si>
  <x:si>
    <x:t xml:space="preserve">16/10/2026</x:t>
  </x:si>
  <x:si>
    <x:t xml:space="preserve">Transcripción. Propone convivencia SGM y despliegue gradual. No es acta aprobada.</x:t>
  </x:si>
  <x:si>
    <x:t xml:space="preserve">https://drive.google.com/file/d/1Wuug8RN0KgaodiotYqKLv-wWiXVunMSR/view</x:t>
  </x:si>
  <x:si>
    <x:t xml:space="preserve">DIARCO cambios octubre</x:t>
  </x:si>
  <x:si>
    <x:t xml:space="preserve">Actualizado 28/10/2026</x:t>
  </x:si>
  <x:si>
    <x:t xml:space="preserve">Mezcla realizados, pedidos y decisiones abiertas. No clasifica definitivamente B1/B2/B3.</x:t>
  </x:si>
  <x:si>
    <x:t xml:space="preserve">https://docs.google.com/document/d/13tTsK9QcUGNsY8hy5iSmRKclbCbAFbR0-_iVH-QNf1I/edit</x:t>
  </x:si>
  <x:si>
    <x:t xml:space="preserve">S07</x:t>
  </x:si>
  <x:si>
    <x:t xml:space="preserve">PDD alcance Fase 1 v1.1</x:t>
  </x:si>
  <x:si>
    <x:t xml:space="preserve">28/07/2026</x:t>
  </x:si>
  <x:si>
    <x:t xml:space="preserve">Alcance específico de PDD. Fase 1 no equivale a Bloque 1 del programa.</x:t>
  </x:si>
  <x:si>
    <x:t xml:space="preserve">PDD/PDD - ALCANCE Fase 1.md</x:t>
  </x:si>
  <x:si>
    <x:t xml:space="preserve">PDD preflight Inventory</x:t>
  </x:si>
  <x:si>
    <x:t xml:space="preserve">Foto histórica de cobertura TEST/PROD. Requiere lectura nueva antes de habilitar.</x:t>
  </x:si>
  <x:si>
    <x:t xml:space="preserve">PDD/documentacion/16_preflight_inventory_y_continuidad_20261029.md</x:t>
  </x:si>
  <x:si>
    <x:t xml:space="preserve">Diseño de este kit</x:t>
  </x:si>
  <x:si>
    <x:t xml:space="preserve">Roles, actividades, tiempos, umbrales y prioridades son propuestas a validar.</x:t>
  </x:si>
  <x:si>
    <x:t xml:space="preserve">Zeetrex / CNX_BLOQUE1 v0.1</x:t>
  </x:si>
  <x:si>
    <x:t xml:space="preserve">S10</x:t>
  </x:si>
  <x:si>
    <x:t xml:space="preserve">Plan de Despliegue - Estrategia</x:t>
  </x:si>
  <x:si>
    <x:t xml:space="preserve">16/10/2026; seleccionado 29/10</x:t>
  </x:si>
  <x:si>
    <x:t xml:space="preserve">Fuente rectora elegida expresamente por el usuario. Convivencia gradual. 07/11 disponibilidad, 09/11 pruebas previstas.</x:t>
  </x:si>
  <x:si>
    <x:t xml:space="preserve">CNX_BLOQUE1/documentacion/Plan de Despliegue - Estrategia.md</x:t>
  </x:si>
  <x:si>
    <x:t xml:space="preserve">S11</x:t>
  </x:si>
  <x:si>
    <x:t xml:space="preserve">PLAN DE DESPLIEGUE</x:t>
  </x:si>
  <x:si>
    <x:t xml:space="preserve">Antecedente local</x:t>
  </x:si>
  <x:si>
    <x:t xml:space="preserve">Contiene corte total al 07/11 incompatible con S10. No rige ese corte por decisión expresa del usuario.</x:t>
  </x:si>
  <x:si>
    <x:t xml:space="preserve">CNX_BLOQUE1/documentacion/PLAN DE DESPLIEGUE.md</x:t>
  </x:si>
  <x:si>
    <x:t xml:space="preserve">S12</x:t>
  </x:si>
  <x:si>
    <x:t xml:space="preserve">Nombres y cargos informados por el usuario</x:t>
  </x:si>
  <x:si>
    <x:t xml:space="preserve">Pablo Bertolissio, Roberto Goldfarb, Daniel Padin, Luciano Calcagno y Eduardo Ettlin. Facultades de proyecto propuestas, no aceptadas todavía.</x:t>
  </x:si>
  <x:si>
    <x:t xml:space="preserve">S13</x:t>
  </x:si>
  <x:si>
    <x:t xml:space="preserve">Objetivo de paralelo desde 04/11</x:t>
  </x:si>
  <x:si>
    <x:t xml:space="preserve">Instrucción más reciente: disponibilidad de módulos productivos, smoke tests y algunos días de paralelo desde 04/11, aceptación progresiva. Sigue valiendo información DIARCO/SGM.</x:t>
  </x:si>
  <x:si>
    <x:t xml:space="preserve">S14</x:t>
  </x:si>
  <x:si>
    <x:t xml:space="preserve">Drive compartido / IMPLEMENTACION</x:t>
  </x:si>
  <x:si>
    <x:t xml:space="preserve">Consultado 29/10/2026</x:t>
  </x:si>
  <x:si>
    <x:t xml:space="preserve">Repositorio del equipo indicado por usuario. IMPLEMENTACION es la carpeta principal para el plan. Sólo lectura.</x:t>
  </x:si>
  <x:si>
    <x:t xml:space="preserve">https://drive.google.com/drive/folders/16nz4aDlr91-vfIEMitnNC3J1JvD3MVd2</x:t>
  </x:si>
  <x:si>
    <x:t xml:space="preserve">S15</x:t>
  </x:si>
  <x:si>
    <x:t xml:space="preserve">Plan_Connexa_20261016.pdf</x:t>
  </x:si>
  <x:si>
    <x:t xml:space="preserve">Compartido 19/10/2026</x:t>
  </x:si>
  <x:si>
    <x:t xml:space="preserve">Módulos, validadores e infraestructura AP/PDA. Fechas y corte total quedan subordinados a S10/S13 por instrucción del usuario.</x:t>
  </x:si>
  <x:si>
    <x:t xml:space="preserve">https://drive.google.com/file/d/15phYIe_bxgcxKCC2tlU0dLbj8AQxeKlH/view</x:t>
  </x:si>
  <x:si>
    <x:t xml:space="preserve">S16</x:t>
  </x:si>
  <x:si>
    <x:t xml:space="preserve">Resumen ejecutivo post reuniones 20/10</x:t>
  </x:si>
  <x:si>
    <x:t xml:space="preserve">21/10/2026</x:t>
  </x:si>
  <x:si>
    <x:t xml:space="preserve">Aprobación única OC, OC madre/PDA, gobierno de maestros y compromisos VKM. No prueba que acciones posteriores se cumplieron.</x:t>
  </x:si>
  <x:si>
    <x:t xml:space="preserve">https://drive.google.com/file/d/12nzA5UzuvW4hFuwNvo7B9BM548QpNfdr/view</x:t>
  </x:si>
  <x:si>
    <x:t xml:space="preserve">S17</x:t>
  </x:si>
  <x:si>
    <x:t xml:space="preserve">Resumen reuniones 20/10</x:t>
  </x:si>
  <x:si>
    <x:t xml:space="preserve">Compartido 21/10/2026</x:t>
  </x:si>
  <x:si>
    <x:t xml:space="preserve">Casos de compras/logística y conciliación de facturas B2. Compromisos históricos por verificar.</x:t>
  </x:si>
  <x:si>
    <x:t xml:space="preserve">https://drive.google.com/file/d/1Lv8NQqOtdMPTBJGtMdPZ7aL9dbVM2H1D/view</x:t>
  </x:si>
  <x:si>
    <x:t xml:space="preserve">S18</x:t>
  </x:si>
  <x:si>
    <x:t xml:space="preserve">Estrategia en IMPLEMENTACION</x:t>
  </x:si>
  <x:si>
    <x:t xml:space="preserve">Versión PDF de la Estrategia rectora local. Convivencia gradual y separación disponibilidad/adopción.</x:t>
  </x:si>
  <x:si>
    <x:t xml:space="preserve">https://drive.google.com/file/d/1Ef2XfwjCcZG5W82jWGe_biuLPYbcQVv8/view</x:t>
  </x:si>
  <x:si>
    <x:t xml:space="preserve">Relanzar Recepción e Inventarios</x:t>
  </x:si>
  <x:si>
    <x:t xml:space="preserve">22/10/2026</x:t>
  </x:si>
  <x:si>
    <x:t xml:space="preserve">Disponibilidad y confiabilidad de stock se validan por separado. Wi-Fi, PDA, tienda escuela y primeras sucursales pendientes.</x:t>
  </x:si>
  <x:si>
    <x:t xml:space="preserve">https://drive.google.com/file/d/13gg2896DrzNJE-QJPVw9ZjxIwO77xM82/view</x:t>
  </x:si>
  <x:si>
    <x:t xml:space="preserve">S20</x:t>
  </x:si>
  <x:si>
    <x:t xml:space="preserve">Equipo técnico SM-MO-EWE</x:t>
  </x:si>
  <x:si>
    <x:t xml:space="preserve">Pruebas parciales informadas; pendientes SGM, autorizaciones, remitos, túnel, maestros y PDA/QR. No acredita cierre del 26/10.</x:t>
  </x:si>
  <x:si>
    <x:t xml:space="preserve">https://drive.google.com/file/d/1NJY0-0vUk1PjiCopLtRTub1ZE-hMo3Hx/view</x:t>
  </x:si>
  <x:si>
    <x:t xml:space="preserve">S21</x:t>
  </x:si>
  <x:si>
    <x:t xml:space="preserve">Equipo técnico MO-EWE</x:t>
  </x:si>
  <x:si>
    <x:t xml:space="preserve">OC madre demostrada. Concurrencia de recepciones y cambio de lista todavía a validar.</x:t>
  </x:si>
  <x:si>
    <x:t xml:space="preserve">https://drive.google.com/file/d/19o9Yfk5MbfNNvdoITYqZy0iqB2lQ-yw1/view</x:t>
  </x:si>
  <x:si>
    <x:t xml:space="preserve">S22</x:t>
  </x:si>
  <x:si>
    <x:t xml:space="preserve">Auditoría</x:t>
  </x:si>
  <x:si>
    <x:t xml:space="preserve">20/10/2026</x:t>
  </x:si>
  <x:si>
    <x:t xml:space="preserve">Guillermo Alvez, interlocutor. Gobierno de datos y workflows requieren definición organizativa.</x:t>
  </x:si>
  <x:si>
    <x:t xml:space="preserve">https://drive.google.com/file/d/12NzBdTsjvkwqv7ZnndETBb2hQuCScixH/view</x:t>
  </x:si>
  <x:si>
    <x:t xml:space="preserve">S23</x:t>
  </x:si>
  <x:si>
    <x:t xml:space="preserve">Compradores</x:t>
  </x:si>
  <x:si>
    <x:t xml:space="preserve">Romina Garfi, Roxana Frutos, Paloma Romero y Diego Baldi, interlocutores. OC madre y descuentos requieren pruebas.</x:t>
  </x:si>
  <x:si>
    <x:t xml:space="preserve">https://drive.google.com/file/d/1QRjn1y4a-0DLcG3nCLujM8VaB0FBFPzl/view</x:t>
  </x:si>
  <x:si>
    <x:t xml:space="preserve">S24</x:t>
  </x:si>
  <x:si>
    <x:t xml:space="preserve">Logística y Valkimia</x:t>
  </x:si>
  <x:si>
    <x:t xml:space="preserve">Christian Rojas/Gastón en Logística. API/Excel y redespachos no son una especificación aprobada.</x:t>
  </x:si>
  <x:si>
    <x:t xml:space="preserve">https://drive.google.com/file/d/1aY5pXBry83kI8Fs4pHE2cmezpGWFic3r/view</x:t>
  </x:si>
  <x:si>
    <x:t xml:space="preserve">S25</x:t>
  </x:si>
  <x:si>
    <x:t xml:space="preserve">Listas de proveedores</x:t>
  </x:si>
  <x:si>
    <x:t xml:space="preserve">13/10/2026</x:t>
  </x:si>
  <x:si>
    <x:t xml:space="preserve">Sebastián Basconcelos según esta minuta. Reglas de netos, precedencia y bonificaciones a validar.</x:t>
  </x:si>
  <x:si>
    <x:t xml:space="preserve">https://drive.google.com/file/d/14fA4uzvnh88GG3A8Puim1tiVch5RGl3A/view</x:t>
  </x:si>
  <x:si>
    <x:t xml:space="preserve">Pendientes de implementación</x:t>
  </x:si>
  <x:si>
    <x:t xml:space="preserve">19/10/2026</x:t>
  </x:si>
  <x:si>
    <x:t xml:space="preserve">Identifica interlocutores y deja QX/reposición automática para después de estabilización, fin B2. Confirmar frontera.</x:t>
  </x:si>
  <x:si>
    <x:t xml:space="preserve">https://drive.google.com/file/d/1UD6RZoactv23cY9J6RaK5-qGq5neW8DX/view</x:t>
  </x:si>
  <x:si>
    <x:t xml:space="preserve">S27</x:t>
  </x:si>
  <x:si>
    <x:t xml:space="preserve">Informe ejecutivo 23/10</x:t>
  </x:si>
  <x:si>
    <x:t xml:space="preserve">23/10/2026</x:t>
  </x:si>
  <x:si>
    <x:t xml:space="preserve">Última evidencia de reuniones al 22/10. No acredita cierre posterior de recuperación, integración o aceptación B1.</x:t>
  </x:si>
  <x:si>
    <x:t xml:space="preserve">https://drive.google.com/file/d/1MiOVTdg-nJS0WnxPQHmkiJBW_sF3PKtP/view</x:t>
  </x:si>
  <x:si>
    <x:t xml:space="preserve">Clusters y segmentos</x:t>
  </x:si>
  <x:si>
    <x:t xml:space="preserve">Liliana D’Amico. Seis segmentos son propuesta, modelo definitivo pendiente de simulación de categoría.</x:t>
  </x:si>
  <x:si>
    <x:t xml:space="preserve">https://drive.google.com/file/d/1aeoaYyiU3w15atsmD3zDT3W_ZMS2pfr0/view</x:t>
  </x:si>
  <x:si>
    <x:t xml:space="preserve">S29</x:t>
  </x:si>
  <x:si>
    <x:t xml:space="preserve">Contratos Valkimia</x:t>
  </x:si>
  <x:si>
    <x:t xml:space="preserve">Gustavo Palacios y Fernando de Pedro. Excel sigue en evaluación. No asumir disponible.</x:t>
  </x:si>
  <x:si>
    <x:t xml:space="preserve">https://drive.google.com/file/d/1Q5bV7YBnVGcCHOKnk8j_ZhWpfEJHOINn/view</x:t>
  </x:si>
  <x:si>
    <x:t xml:space="preserve">S30</x:t>
  </x:si>
  <x:si>
    <x:t xml:space="preserve">Conciliación de facturas</x:t>
  </x:si>
  <x:si>
    <x:t xml:space="preserve">Walter Sosa y Guillermo Alvez. Triple control OC/recepción/factura corresponde a Bloque 2.</x:t>
  </x:si>
  <x:si>
    <x:t xml:space="preserve">https://drive.google.com/file/d/1T297puOriKOsheglNGY-Sxj4W4aJKlM9/view</x:t>
  </x:si>
</x:sst>
</file>

<file path=xl/styles.xml><?xml version="1.0" encoding="utf-8"?>
<x:styleSheet xmlns:x="http://schemas.openxmlformats.org/spreadsheetml/2006/main">
  <x:numFmts count="3">
    <x:numFmt numFmtId="164" formatCode="0.0"/>
    <x:numFmt numFmtId="200" formatCode="dd/mm/yyyy"/>
    <x:numFmt numFmtId="201" formatCode="@"/>
  </x:numFmts>
  <x:fonts count="12">
    <x:font>
      <x:sz val="11"/>
      <x:name val="Carlito"/>
    </x:font>
    <x:font>
      <x:sz val="10"/>
      <x:color rgb="FF203040"/>
      <x:name val="Arial"/>
    </x:font>
    <x:font>
      <x:b/>
      <x:sz val="15"/>
      <x:color rgb="FF19334C"/>
      <x:name val="Arial"/>
    </x:font>
    <x:font>
      <x:i/>
      <x:sz val="10"/>
      <x:color rgb="FF5E6B77"/>
      <x:name val="Arial"/>
    </x:font>
    <x:font>
      <x:b/>
      <x:sz val="10"/>
      <x:color rgb="FFFFFFFF"/>
      <x:name val="Arial"/>
    </x:font>
    <x:font>
      <x:sz val="11"/>
      <x:color rgb="FF203040"/>
      <x:name val="Arial"/>
    </x:font>
    <x:font>
      <x:sz val="11"/>
      <x:color rgb="FF203040"/>
      <x:name val="Arial"/>
      <x:family val="2"/>
    </x:font>
    <x:font>
      <x:sz val="12"/>
      <x:color rgb="FF203040"/>
      <x:name val="Arial"/>
      <x:family val="2"/>
    </x:font>
    <x:font>
      <x:sz val="16"/>
      <x:color rgb="FF203040"/>
      <x:name val="Arial"/>
      <x:family val="2"/>
    </x:font>
    <x:font>
      <x:b/>
      <x:sz val="16"/>
      <x:color rgb="FF19334C"/>
      <x:name val="Arial"/>
      <x:family val="2"/>
    </x:font>
    <x:font>
      <x:b/>
      <x:sz val="16"/>
      <x:color rgb="FFFFFFFF"/>
      <x:name val="Arial"/>
      <x:family val="2"/>
    </x:font>
    <x:font>
      <x:sz val="10"/>
      <x:color rgb="FF203040"/>
      <x:name val="Arial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19334C"/>
      </x:patternFill>
    </x:fill>
    <x:fill>
      <x:patternFill patternType="solid">
        <x:fgColor rgb="FFFFFFFF"/>
      </x:patternFill>
    </x:fill>
    <x:fill>
      <x:patternFill patternType="solid">
        <x:fgColor rgb="FFF1F4F7"/>
      </x:patternFill>
    </x:fill>
    <x:fill>
      <x:patternFill patternType="solid">
        <x:fgColor rgb="FFFFF2CC"/>
      </x:patternFill>
    </x:fill>
    <x:fill>
      <x:patternFill patternType="solid">
        <x:fgColor rgb="FF19334C"/>
      </x:patternFill>
    </x:fill>
    <x:fill>
      <x:patternFill patternType="solid">
        <x:fgColor rgb="FFFFFFFF"/>
      </x:patternFill>
    </x:fill>
    <x:fill>
      <x:patternFill patternType="solid">
        <x:fgColor rgb="FFF1F4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2" borderId="0" xfId="0" applyFont="1" applyFill="1" applyAlignment="1">
      <x:alignment horizontal="center" vertical="center" wrapText="1"/>
    </x:xf>
    <x:xf numFmtId="0" fontId="1" fillId="3" borderId="0" xfId="0" applyFont="1" applyFill="1" applyAlignment="1">
      <x:alignment vertical="top" wrapText="1"/>
    </x:xf>
    <x:xf numFmtId="0" fontId="1" fillId="4" borderId="0" xfId="0" applyFont="1" applyFill="1" applyAlignment="1">
      <x:alignment vertical="top" wrapText="1"/>
    </x:xf>
    <x:xf numFmtId="0" fontId="1" fillId="5" borderId="0" xfId="0" applyFont="1" applyFill="1" applyAlignment="1">
      <x:alignment vertical="top" wrapText="1"/>
    </x:xf>
    <x:xf numFmtId="14" fontId="1" fillId="5" borderId="0" xfId="0" applyNumberFormat="1" applyFont="1" applyFill="1" applyAlignment="1">
      <x:alignment vertical="top" wrapText="1"/>
    </x:xf>
    <x:xf numFmtId="164" fontId="1" fillId="5" borderId="0" xfId="0" applyNumberFormat="1" applyFont="1" applyFill="1" applyAlignment="1">
      <x:alignment vertical="top" wrapText="1"/>
    </x:xf>
    <x:xf numFmtId="0" fontId="1" fillId="3" borderId="0" xfId="0" applyFont="1" applyFill="1" applyAlignment="1">
      <x:alignment horizontal="center" vertical="top" wrapText="1"/>
    </x:xf>
    <x:xf numFmtId="0" fontId="1" fillId="4" borderId="0" xfId="0" applyFont="1" applyFill="1" applyAlignment="1">
      <x:alignment horizontal="center" vertical="top" wrapText="1"/>
    </x:xf>
    <x:xf numFmtId="0" fontId="5" fillId="0" borderId="0" xfId="0" applyFont="1"/>
    <x:xf numFmtId="0" fontId="6" fillId="3" borderId="0" xfId="0" applyFont="1" applyFill="1" applyAlignment="1">
      <x:alignment vertical="top" wrapText="1"/>
    </x:xf>
    <x:xf numFmtId="164" fontId="6" fillId="5" borderId="0" xfId="0" applyNumberFormat="1" applyFont="1" applyFill="1" applyAlignment="1">
      <x:alignment vertical="top" wrapText="1"/>
    </x:xf>
    <x:xf numFmtId="164" fontId="6" fillId="3" borderId="0" xfId="0" applyNumberFormat="1" applyFont="1" applyFill="1" applyAlignment="1">
      <x:alignment vertical="top" wrapText="1"/>
    </x:xf>
    <x:xf numFmtId="0" fontId="6" fillId="4" borderId="0" xfId="0" applyFont="1" applyFill="1" applyAlignment="1">
      <x:alignment vertical="top" wrapText="1"/>
    </x:xf>
    <x:xf numFmtId="164" fontId="6" fillId="4" borderId="0" xfId="0" applyNumberFormat="1" applyFont="1" applyFill="1" applyAlignment="1">
      <x:alignment vertical="top" wrapText="1"/>
    </x:xf>
    <x:xf numFmtId="0" fontId="7" fillId="3" borderId="0" xfId="0" applyFont="1" applyFill="1" applyAlignment="1">
      <x:alignment horizontal="left" vertical="center" wrapText="1"/>
    </x:xf>
    <x:xf numFmtId="0" fontId="7" fillId="4" borderId="0" xfId="0" applyFont="1" applyFill="1" applyAlignment="1">
      <x:alignment horizontal="left" vertical="center" wrapText="1"/>
    </x:xf>
    <x:xf numFmtId="0" fontId="7" fillId="4" borderId="0" xfId="0" applyFont="1" applyFill="1" applyAlignment="1">
      <x:alignment horizontal="center" vertical="center" wrapText="1"/>
    </x:xf>
    <x:xf numFmtId="0" fontId="7" fillId="3" borderId="0" xfId="0" applyFont="1" applyFill="1" applyAlignment="1">
      <x:alignment horizontal="center" vertical="center" wrapText="1"/>
    </x:xf>
    <x:xf numFmtId="0" fontId="8" fillId="0" borderId="0" xfId="0" applyFont="1"/>
    <x:xf numFmtId="0" fontId="9" fillId="0" borderId="0" xfId="0" applyFont="1"/>
    <x:xf numFmtId="0" fontId="10" fillId="2" borderId="0" xfId="0" applyFont="1" applyFill="1"/>
    <x:xf numFmtId="0" fontId="11" fillId="3" borderId="0" xfId="0" applyFont="1" applyFill="1" applyAlignment="1">
      <x:alignment vertical="top" wrapText="1"/>
    </x:xf>
    <x:xf numFmtId="0" fontId="11" fillId="4" borderId="0" xfId="0" applyFont="1" applyFill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vertical="top" wrapText="1"/>
    </x:xf>
    <x:xf numFmtId="14" fontId="1" fillId="9" borderId="0" xfId="0" applyNumberFormat="1" applyFont="1" applyFill="1" applyBorder="1" applyAlignment="1">
      <x:alignment vertical="top" wrapText="1"/>
    </x:xf>
    <x:xf numFmtId="200" fontId="1" fillId="9" borderId="0" xfId="0" applyNumberFormat="1" applyFont="1" applyFill="1" applyBorder="1" applyAlignment="1">
      <x:alignment vertical="top" wrapText="1"/>
    </x:xf>
    <x:xf numFmtId="164" fontId="6" fillId="9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9">
    <x:dxf>
      <x:font>
        <x:color rgb="FF9C260F"/>
      </x:font>
      <x:fill>
        <x:patternFill>
          <x:bgColor rgb="FFFCE4D6"/>
        </x:patternFill>
      </x:fill>
    </x:dxf>
    <x:dxf>
      <x:font>
        <x:color rgb="FF9C260F"/>
      </x:font>
      <x:fill>
        <x:patternFill>
          <x:bgColor rgb="FFFCE4D6"/>
        </x:patternFill>
      </x:fill>
    </x:dxf>
    <x:dxf>
      <x:font>
        <x:color rgb="FF9C260F"/>
      </x:font>
      <x:fill>
        <x:patternFill>
          <x:bgColor rgb="FFFCE4D6"/>
        </x:patternFill>
      </x:fill>
    </x:dxf>
    <x:dxf>
      <x:font>
        <x:color rgb="FF9C260F"/>
      </x:font>
      <x:fill>
        <x:patternFill>
          <x:bgColor rgb="FFFCE4D6"/>
        </x:patternFill>
      </x:fill>
    </x:dxf>
    <x:dxf>
      <x:font>
        <x:color rgb="FF9C260F"/>
      </x:font>
      <x:fill>
        <x:patternFill>
          <x:bgColor rgb="FFFCE4D6"/>
        </x:patternFill>
      </x:fill>
    </x:dxf>
    <x:dxf>
      <x:font>
        <x:color rgb="FF9C260F"/>
      </x:font>
      <x:fill>
        <x:patternFill>
          <x:bgColor rgb="FFFCE4D6"/>
        </x:patternFill>
      </x:fill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69dd1035042e6" /><Relationship Type="http://schemas.openxmlformats.org/officeDocument/2006/relationships/theme" Target="/xl/theme/theme1.xml" Id="R3dc8653f929e4f61" /><Relationship Type="http://schemas.openxmlformats.org/officeDocument/2006/relationships/sharedStrings" Target="/xl/sharedStrings.xml" Id="Ra036f435b0a74d1b" /><Relationship Type="http://schemas.openxmlformats.org/officeDocument/2006/relationships/worksheet" Target="/xl/worksheets/sheet1.xml" Id="R5d6aaa1b095a4302" /><Relationship Type="http://schemas.openxmlformats.org/officeDocument/2006/relationships/worksheet" Target="/xl/worksheets/sheet2.xml" Id="R5563d39c73f0464f" /><Relationship Type="http://schemas.openxmlformats.org/officeDocument/2006/relationships/worksheet" Target="/xl/worksheets/sheet3.xml" Id="R49329c694a68458c" /><Relationship Type="http://schemas.openxmlformats.org/officeDocument/2006/relationships/worksheet" Target="/xl/worksheets/sheet4.xml" Id="R9bdaa1303ab84bfb" /><Relationship Type="http://schemas.openxmlformats.org/officeDocument/2006/relationships/worksheet" Target="/xl/worksheets/sheet5.xml" Id="Rc5152c9844c04df7" /><Relationship Type="http://schemas.openxmlformats.org/officeDocument/2006/relationships/worksheet" Target="/xl/worksheets/sheet6.xml" Id="R58e0f29e46ee4990" /><Relationship Type="http://schemas.openxmlformats.org/officeDocument/2006/relationships/worksheet" Target="/xl/worksheets/sheet7.xml" Id="R17a18f6e5a6b4f6e" /><Relationship Type="http://schemas.openxmlformats.org/officeDocument/2006/relationships/worksheet" Target="/xl/worksheets/sheet8.xml" Id="Rcde9bf9080b74df7" /><Relationship Type="http://schemas.openxmlformats.org/officeDocument/2006/relationships/worksheet" Target="/xl/worksheets/sheet9.xml" Id="R54ad5573483442b7" /><Relationship Type="http://schemas.openxmlformats.org/officeDocument/2006/relationships/worksheet" Target="/xl/worksheets/sheet10.xml" Id="R14e135a33444408e" /><Relationship Type="http://schemas.openxmlformats.org/officeDocument/2006/relationships/worksheet" Target="/xl/worksheets/sheet11.xml" Id="R3995cc3a5db143b6" /><Relationship Type="http://schemas.openxmlformats.org/officeDocument/2006/relationships/worksheet" Target="/xl/worksheets/sheet12.xml" Id="R0b9e1c1ff41b49a6" /><Relationship Type="http://schemas.openxmlformats.org/officeDocument/2006/relationships/worksheet" Target="/xl/worksheets/sheet13.xml" Id="R1c668f5328394775" /><Relationship Type="http://schemas.openxmlformats.org/officeDocument/2006/relationships/worksheet" Target="/xl/worksheets/sheet14.xml" Id="R432b3a35a0d840fa" /></Relationships>
</file>

<file path=xl/tables/table1.xml><?xml version="1.0" encoding="utf-8"?>
<x:table xmlns:x="http://schemas.openxmlformats.org/spreadsheetml/2006/main" id="1" name="T_Asignaciones" displayName="T_Asignaciones" ref="A5:Q15" totalsRowShown="0">
  <x:tableColumns count="17">
    <x:tableColumn id="1" name="ID"/>
    <x:tableColumn id="2" name="Capacidad B1"/>
    <x:tableColumn id="3" name="Bloque"/>
    <x:tableColumn id="4" name="Dueño propuesto (función)"/>
    <x:tableColumn id="5" name="Interlocutor de antecedentes"/>
    <x:tableColumn id="6" name="Titular confirmado"/>
    <x:tableColumn id="7" name="Suplente confirmado"/>
    <x:tableColumn id="8" name="Jefatura que libera tiempo"/>
    <x:tableColumn id="9" name="h titular/semana"/>
    <x:tableColumn id="10" name="h suplente/semana"/>
    <x:tableColumn id="11" name="Ventanas de agenda"/>
    <x:tableColumn id="12" name="Compromiso"/>
    <x:tableColumn id="13" name="Acepta jefatura"/>
    <x:tableColumn id="14" name="Fecha aceptación"/>
    <x:tableColumn id="15" name="Preparación del equipo"/>
    <x:tableColumn id="16" name="Dueño nominal confirmado"/>
    <x:tableColumn id="17" name="Aceptación del dueñ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5" name="T_WBS" displayName="T_WBS" ref="A5:P121" headerRowCount="1" totalsRowCount="0" totalsRowShown="0">
  <x:tableColumns count="16">
    <x:tableColumn id="1" name="WBS"/>
    <x:tableColumn id="2" name="Módulo"/>
    <x:tableColumn id="3" name="Actividad"/>
    <x:tableColumn id="4" name="Entregable / acción concreta"/>
    <x:tableColumn id="5" name="R"/>
    <x:tableColumn id="6" name="A"/>
    <x:tableColumn id="7" name="Predecesoras"/>
    <x:tableColumn id="8" name="Ventana propuesta"/>
    <x:tableColumn id="9" name="Criterio de cierre"/>
    <x:tableColumn id="10" name="Estado"/>
    <x:tableColumn id="11" name="Nombre ejecutor R"/>
    <x:tableColumn id="12" name="Fecha objetivo"/>
    <x:tableColumn id="13" name="Evidencia"/>
    <x:tableColumn id="14" name="Aceptado por"/>
    <x:tableColumn id="15" name="Fecha aceptación"/>
    <x:tableColumn id="16" name="Control de cier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4" name="T_RACI" displayName="T_RACI" ref="A5:O29" headerRowCount="1" totalsRowCount="0" totalsRowShown="0">
  <x:tableColumns count="15">
    <x:tableColumn id="1" name="ID"/>
    <x:tableColumn id="2" name="Actividad"/>
    <x:tableColumn id="3" name="SP"/>
    <x:tableColumn id="4" name="LD"/>
    <x:tableColumn id="5" name="DP"/>
    <x:tableColumn id="6" name="RF"/>
    <x:tableColumn id="7" name="US"/>
    <x:tableColumn id="8" name="MD"/>
    <x:tableColumn id="9" name="IT"/>
    <x:tableColumn id="10" name="LZ"/>
    <x:tableColumn id="11" name="ZF"/>
    <x:tableColumn id="12" name="ZT"/>
    <x:tableColumn id="13" name="EXT"/>
    <x:tableColumn id="14" name="CIO"/>
    <x:tableColumn id="15" name="CMZ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GAPS" displayName="T_GAPS" ref="A5:K18" totalsRowShown="0">
  <x:tableColumns count="11">
    <x:tableColumn id="1" name="GAP" dataDxfId="23"/>
    <x:tableColumn id="2" name="Módulo" dataDxfId="22"/>
    <x:tableColumn id="3" name="Capacidad / pedido" dataDxfId="21"/>
    <x:tableColumn id="4" name="Clasificación documentada" dataDxfId="20"/>
    <x:tableColumn id="5" name="Condición / detalle pendiente" dataDxfId="19"/>
    <x:tableColumn id="6" name="Fuentes" dataDxfId="18"/>
    <x:tableColumn id="7" name="Decisión final"/>
    <x:tableColumn id="8" name="Dueño de decisión"/>
    <x:tableColumn id="9" name="Fecha"/>
    <x:tableColumn id="10" name="Motivo / impacto"/>
    <x:tableColumn id="11" name="Evide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UAT" displayName="T_UAT" ref="A5:X38" totalsRowShown="0">
  <x:tableColumns count="24">
    <x:tableColumn id="1" name="Caso / ejecución"/>
    <x:tableColumn id="2" name="Módulo"/>
    <x:tableColumn id="3" name="Escenario"/>
    <x:tableColumn id="4" name="Criticidad"/>
    <x:tableColumn id="5" name="Precondiciones / dataset"/>
    <x:tableColumn id="6" name="Pasos"/>
    <x:tableColumn id="7" name="Resultado esperado a aprobar"/>
    <x:tableColumn id="8" name="R ejecuta"/>
    <x:tableColumn id="9" name="A acepta"/>
    <x:tableColumn id="10" name="Versión"/>
    <x:tableColumn id="11" name="Ambiente"/>
    <x:tableColumn id="12" name="Dataset / corte"/>
    <x:tableColumn id="13" name="Ejecutado por"/>
    <x:tableColumn id="14" name="Fecha ejecución"/>
    <x:tableColumn id="15" name="Resultado real"/>
    <x:tableColumn id="16" name="Evidencia"/>
    <x:tableColumn id="17" name="Defecto"/>
    <x:tableColumn id="18" name="Dictamen"/>
    <x:tableColumn id="19" name="Aceptado por"/>
    <x:tableColumn id="20" name="Estado ejecución"/>
    <x:tableColumn id="21" name="Control de evidencia"/>
    <x:tableColumn id="22" name="Fecha aceptación"/>
    <x:tableColumn id="23" name="Esperado aprobado por"/>
    <x:tableColumn id="24" name="Fecha validación esper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OCparalelo" displayName="T_OCparalelo" ref="A5:K23" totalsRowShown="0">
  <x:tableColumns count="11">
    <x:tableColumn id="1" name="OC / ejecución"/>
    <x:tableColumn id="2" name="Línea / campo"/>
    <x:tableColumn id="3" name="Connexa"/>
    <x:tableColumn id="4" name="DIARCO / SGM (válido)"/>
    <x:tableColumn id="5" name="Esperado independiente"/>
    <x:tableColumn id="6" name="Tolerancia acordada"/>
    <x:tableColumn id="7" name="Diferencia / causa"/>
    <x:tableColumn id="8" name="Dictamen"/>
    <x:tableColumn id="9" name="Responsable"/>
    <x:tableColumn id="10" name="Evidencia"/>
    <x:tableColumn id="11" name="Fecha comparació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7" name="T_Formacion" displayName="T_Formacion" ref="A5:K28" headerRowCount="1" totalsRowCount="0" totalsRowShown="0">
  <x:tableColumns count="11">
    <x:tableColumn id="1" name="Módulo"/>
    <x:tableColumn id="2" name="Rol"/>
    <x:tableColumn id="3" name="Persona"/>
    <x:tableColumn id="4" name="Qué debe demostrar"/>
    <x:tableColumn id="5" name="Versión / material"/>
    <x:tableColumn id="6" name="Fecha evaluación"/>
    <x:tableColumn id="7" name="Resultado"/>
    <x:tableColumn id="8" name="Brecha / acción"/>
    <x:tableColumn id="9" name="Evaluador"/>
    <x:tableColumn id="10" name="Evidencia"/>
    <x:tableColumn id="11" name="Fecha reprueb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8" name="T_Decisiones" displayName="T_Decisiones" ref="A5:K19" headerRowCount="1" totalsRowCount="0" totalsRowShown="0">
  <x:tableColumns count="11">
    <x:tableColumn id="1" name="ID"/>
    <x:tableColumn id="2" name="Decisión requerida"/>
    <x:tableColumn id="3" name="A"/>
    <x:tableColumn id="4" name="Ventana propuesta"/>
    <x:tableColumn id="5" name="Estado"/>
    <x:tableColumn id="6" name="Criterio / contenido"/>
    <x:tableColumn id="7" name="Fuentes"/>
    <x:tableColumn id="8" name="Decisión registrada"/>
    <x:tableColumn id="9" name="Nombre decisor"/>
    <x:tableColumn id="10" name="Fecha decisión"/>
    <x:tableColumn id="11" name="Evidenci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Gates" displayName="T_Gates" ref="A5:K10" totalsRowShown="0">
  <x:tableColumns count="11">
    <x:tableColumn id="1" name="Gate"/>
    <x:tableColumn id="2" name="Resultado"/>
    <x:tableColumn id="3" name="Criterio propuesto"/>
    <x:tableColumn id="4" name="A"/>
    <x:tableColumn id="5" name="Evidencia requerida"/>
    <x:tableColumn id="6" name="Módulo / oleada"/>
    <x:tableColumn id="7" name="Versión"/>
    <x:tableColumn id="8" name="Decisión"/>
    <x:tableColumn id="9" name="Nombre decisor"/>
    <x:tableColumn id="10" name="Fecha"/>
    <x:tableColumn id="11" name="Enlace / reserva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9" name="T_Riesgos" displayName="T_Riesgos" ref="A5:K18" headerRowCount="1" totalsRowCount="0" totalsRowShown="0">
  <x:tableColumns count="11">
    <x:tableColumn id="1" name="ID"/>
    <x:tableColumn id="2" name="Riesgo"/>
    <x:tableColumn id="3" name="Dueño rol"/>
    <x:tableColumn id="4" name="Impacto"/>
    <x:tableColumn id="5" name="Señal / disparador"/>
    <x:tableColumn id="6" name="Respuesta propuesta"/>
    <x:tableColumn id="7" name="Decisión vinculada"/>
    <x:tableColumn id="8" name="Dueño nominal"/>
    <x:tableColumn id="9" name="Fecha acción"/>
    <x:tableColumn id="10" name="Estado"/>
    <x:tableColumn id="11" name="Evidenci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6" name="T_Capacidad" displayName="T_Capacidad" ref="A5:J19" headerRowCount="1" totalsRowCount="0" totalsRowShown="0">
  <x:tableColumns count="10">
    <x:tableColumn id="1" name="Código"/>
    <x:tableColumn id="2" name="Rol"/>
    <x:tableColumn id="3" name="Organización"/>
    <x:tableColumn id="4" name="Resultado del rol"/>
    <x:tableColumn id="5" name="h/sem mínimo"/>
    <x:tableColumn id="6" name="h/sem máximo"/>
    <x:tableColumn id="7" name="Cantidad personas"/>
    <x:tableColumn id="8" name="Reserva mínima h"/>
    <x:tableColumn id="9" name="Reserva máxima h"/>
    <x:tableColumn id="10" name="Nota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Gobierno" displayName="T_Gobierno" ref="A5:E12" totalsRowShown="0">
  <x:tableColumns count="5">
    <x:tableColumn id="1" name="Persona"/>
    <x:tableColumn id="2" name="Cargo informado"/>
    <x:tableColumn id="3" name="Función propuesta"/>
    <x:tableColumn id="4" name="Estado"/>
    <x:tableColumn id="5" name="Facultad por acorda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20" name="T_Fuentes" displayName="T_Fuentes" ref="A5:E37" headerRowCount="1" totalsRowCount="0" totalsRowShown="0">
  <x:tableColumns count="5">
    <x:tableColumn id="1" name="ID"/>
    <x:tableColumn id="2" name="Fuente"/>
    <x:tableColumn id="3" name="Corte"/>
    <x:tableColumn id="4" name="Uso / límites"/>
    <x:tableColumn id="5" name="Ub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db4e0ba95b46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01b283e08848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4695b5d7c745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fa3a80a65442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ac557767c749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3f639c09074e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b7c2286f7348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f9ad7aae934c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c1f6cceb5804f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8788fd1e79c491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139f8d00b564d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b1530c7d32e4c9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a29b4283cad4e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43" customWidth="1"/>
    <x:col min="2" max="2" width="100" customWidth="1"/>
    <x:col min="3" max="6" width="12" customWidth="1"/>
  </x:cols>
  <x:sheetData>
    <x:row r="1" ht="20.25">
      <x:c r="A1" s="22"/>
      <x:c r="B1" s="22"/>
      <x:c r="C1" s="12"/>
      <x:c r="D1" s="12"/>
      <x:c r="E1" s="12"/>
      <x:c r="F1" s="12"/>
    </x:row>
    <x:row r="2" ht="24.950000762939453" customHeight="1">
      <x:c r="A2" s="23" t="s">
        <x:v>0</x:v>
      </x:c>
      <x:c r="B2" s="22"/>
      <x:c r="C2" s="12"/>
      <x:c r="D2" s="12"/>
      <x:c r="E2" s="12"/>
      <x:c r="F2" s="12"/>
    </x:row>
    <x:row r="3" ht="20.25">
      <x:c r="A3" s="22"/>
      <x:c r="B3" s="22"/>
      <x:c r="C3" s="12"/>
      <x:c r="D3" s="12"/>
      <x:c r="E3" s="12"/>
      <x:c r="F3" s="12"/>
    </x:row>
    <x:row r="4" ht="24.950000762939453" customHeight="1">
      <x:c r="A4" s="22" t="s">
        <x:v>1</x:v>
      </x:c>
      <x:c r="B4" s="22" t="s">
        <x:v>2</x:v>
      </x:c>
      <x:c r="C4" s="12"/>
      <x:c r="D4" s="12"/>
      <x:c r="E4" s="12"/>
      <x:c r="F4" s="12"/>
    </x:row>
    <x:row r="5" ht="24.950000762939453" customHeight="1">
      <x:c r="A5" s="22" t="s">
        <x:v>3</x:v>
      </x:c>
      <x:c r="B5" s="22" t="s">
        <x:v>4</x:v>
      </x:c>
      <x:c r="C5" s="12"/>
      <x:c r="D5" s="12"/>
      <x:c r="E5" s="12"/>
      <x:c r="F5" s="12"/>
    </x:row>
    <x:row r="6" ht="24.950000762939453" customHeight="1">
      <x:c r="A6" s="22" t="s">
        <x:v>5</x:v>
      </x:c>
      <x:c r="B6" s="22" t="s">
        <x:v>6</x:v>
      </x:c>
      <x:c r="C6" s="12"/>
      <x:c r="D6" s="12"/>
      <x:c r="E6" s="12"/>
      <x:c r="F6" s="12"/>
    </x:row>
    <x:row r="7" ht="20.25">
      <x:c r="A7" s="22"/>
      <x:c r="B7" s="22"/>
      <x:c r="C7" s="12"/>
      <x:c r="D7" s="12"/>
      <x:c r="E7" s="12"/>
      <x:c r="F7" s="12"/>
    </x:row>
    <x:row r="8" ht="24.950000762939453" customHeight="1">
      <x:c r="A8" s="24" t="s">
        <x:v>7</x:v>
      </x:c>
      <x:c r="B8" s="24" t="s">
        <x:v>8</x:v>
      </x:c>
      <x:c r="C8" s="12"/>
      <x:c r="D8" s="12"/>
      <x:c r="E8" s="12"/>
      <x:c r="F8" s="12"/>
    </x:row>
    <x:row r="9" ht="24.950000762939453" customHeight="1">
      <x:c r="A9" s="22" t="s">
        <x:v>9</x:v>
      </x:c>
      <x:c r="B9" s="22" t="n">
        <x:f>COUNTA(Asignaciones!A6:A15)</x:f>
        <x:v>10</x:v>
      </x:c>
      <x:c r="C9" s="12"/>
      <x:c r="D9" s="12"/>
      <x:c r="E9" s="12"/>
      <x:c r="F9" s="12"/>
    </x:row>
    <x:row r="10" ht="24.950000762939453" customHeight="1">
      <x:c r="A10" s="22" t="s">
        <x:v>10</x:v>
      </x:c>
      <x:c r="B10" s="22" t="n">
        <x:f>COUNTIF(Asignaciones!O6:O15,"Equipo confirmado")</x:f>
        <x:v>0</x:v>
      </x:c>
      <x:c r="C10" s="12"/>
      <x:c r="D10" s="12"/>
      <x:c r="E10" s="12"/>
      <x:c r="F10" s="12"/>
    </x:row>
    <x:row r="11" ht="24.950000762939453" customHeight="1">
      <x:c r="A11" s="22" t="s">
        <x:v>11</x:v>
      </x:c>
      <x:c r="B11" s="22" t="n">
        <x:f>COUNTA(WBS!A6:A121)</x:f>
        <x:v>116</x:v>
      </x:c>
      <x:c r="C11" s="12"/>
      <x:c r="D11" s="12"/>
      <x:c r="E11" s="12"/>
      <x:c r="F11" s="12"/>
    </x:row>
    <x:row r="12" ht="24.950000762939453" customHeight="1">
      <x:c r="A12" s="22" t="s">
        <x:v>12</x:v>
      </x:c>
      <x:c r="B12" s="22" t="n">
        <x:f>COUNTIF(WBS!P6:P121,"Cierre documentado")</x:f>
        <x:v>0</x:v>
      </x:c>
      <x:c r="C12" s="12"/>
      <x:c r="D12" s="12"/>
      <x:c r="E12" s="12"/>
      <x:c r="F12" s="12"/>
    </x:row>
    <x:row r="13" ht="24.950000762939453" customHeight="1">
      <x:c r="A13" s="22" t="s">
        <x:v>13</x:v>
      </x:c>
      <x:c r="B13" s="22" t="n">
        <x:f>COUNTA(UAT!A6:A38)</x:f>
        <x:v>33</x:v>
      </x:c>
      <x:c r="C13" s="12"/>
      <x:c r="D13" s="12"/>
      <x:c r="E13" s="12"/>
      <x:c r="F13" s="12"/>
    </x:row>
    <x:row r="14" ht="24.950000762939453" customHeight="1">
      <x:c r="A14" s="22" t="s">
        <x:v>14</x:v>
      </x:c>
      <x:c r="B14" s="22" t="n">
        <x:f>COUNTIF(UAT!U6:U38,"Ejecución aceptada")</x:f>
        <x:v>0</x:v>
      </x:c>
      <x:c r="C14" s="12"/>
      <x:c r="D14" s="12"/>
      <x:c r="E14" s="12"/>
      <x:c r="F14" s="12"/>
    </x:row>
    <x:row r="15" ht="24.950000762939453" customHeight="1">
      <x:c r="A15" s="22" t="s">
        <x:v>15</x:v>
      </x:c>
      <x:c r="B15" s="22" t="n">
        <x:f>COUNTIF(Formacion!G6:G28,"No evaluado")</x:f>
        <x:v>23</x:v>
      </x:c>
      <x:c r="C15" s="12"/>
      <x:c r="D15" s="12"/>
      <x:c r="E15" s="12"/>
      <x:c r="F15" s="12"/>
    </x:row>
    <x:row r="16" ht="24.950000762939453" customHeight="1">
      <x:c r="A16" s="22" t="s">
        <x:v>16</x:v>
      </x:c>
      <x:c r="B16" s="22" t="n">
        <x:f>COUNTIF(Decisiones!E6:E19,"Sin decidir")+COUNTIF(Decisiones!E6:E19,"En análisis")</x:f>
        <x:v>14</x:v>
      </x:c>
      <x:c r="C16" s="12"/>
      <x:c r="D16" s="12"/>
      <x:c r="E16" s="12"/>
      <x:c r="F16" s="12"/>
    </x:row>
    <x:row r="17" ht="20.25">
      <x:c r="A17" s="22"/>
      <x:c r="B17" s="22"/>
      <x:c r="C17" s="12"/>
      <x:c r="D17" s="12"/>
      <x:c r="E17" s="12"/>
      <x:c r="F17" s="12"/>
    </x:row>
    <x:row r="18" ht="20.25">
      <x:c r="A18" s="22"/>
      <x:c r="B18" s="22"/>
      <x:c r="C18" s="12"/>
      <x:c r="D18" s="12"/>
      <x:c r="E18" s="12"/>
      <x:c r="F18" s="12"/>
    </x:row>
    <x:row r="19" ht="24.950000762939453" customHeight="1">
      <x:c r="A19" s="22" t="s">
        <x:v>17</x:v>
      </x:c>
      <x:c r="B19" s="22" t="s">
        <x:v>18</x:v>
      </x:c>
      <x:c r="C19" s="12"/>
      <x:c r="D19" s="12"/>
      <x:c r="E19" s="12"/>
      <x:c r="F19" s="12"/>
    </x:row>
    <x:row r="20" ht="24.950000762939453" customHeight="1">
      <x:c r="A20" s="22"/>
      <x:c r="B20" s="22"/>
      <x:c r="C20" s="12"/>
      <x:c r="D20" s="12"/>
      <x:c r="E20" s="12"/>
      <x:c r="F20" s="12"/>
    </x:row>
    <x:row r="21" ht="24.950000762939453" customHeight="1">
      <x:c r="A21" s="22" t="s">
        <x:v>19</x:v>
      </x:c>
      <x:c r="B21" s="22" t="s">
        <x:v>20</x:v>
      </x:c>
      <x:c r="C21" s="12"/>
      <x:c r="D21" s="12"/>
      <x:c r="E21" s="12"/>
      <x:c r="F21" s="12"/>
    </x:row>
    <x:row r="22" ht="24.950000762939453" customHeight="1">
      <x:c r="A22" s="22"/>
      <x:c r="B22" s="22" t="s">
        <x:v>21</x:v>
      </x:c>
      <x:c r="C22" s="12"/>
      <x:c r="D22" s="12"/>
      <x:c r="E22" s="12"/>
      <x:c r="F22" s="12"/>
    </x:row>
    <x:row r="23" ht="24.950000762939453" customHeight="1">
      <x:c r="A23" s="22"/>
      <x:c r="B23" s="22" t="str">
        <x:v>Las nuevas tareas WBS están al final de la tabla; filtrar por ID/predecesoras para planificar.</x:v>
      </x:c>
      <x:c r="C23" s="12"/>
      <x:c r="D23" s="12"/>
      <x:c r="E23" s="12"/>
      <x:c r="F23" s="12"/>
    </x:row>
    <x:row r="24" ht="24.950000762939453" customHeight="1">
      <x:c r="A24" s="22"/>
      <x:c r="B24" s="22" t="s">
        <x:v>22</x:v>
      </x:c>
      <x:c r="C24" s="12"/>
      <x:c r="D24" s="12"/>
      <x:c r="E24" s="12"/>
      <x:c r="F24" s="12"/>
    </x:row>
    <x:row r="25" ht="24.950000762939453" customHeight="1">
      <x:c r="A25" s="22"/>
      <x:c r="B25" s="22" t="s">
        <x:v>23</x:v>
      </x:c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0" customWidth="1"/>
    <x:col min="2" max="2" width="34" customWidth="1"/>
    <x:col min="3" max="3" width="12" customWidth="1"/>
    <x:col min="4" max="4" width="30" customWidth="1"/>
    <x:col min="5" max="5" width="42" customWidth="1"/>
    <x:col min="6" max="8" width="28" customWidth="1"/>
    <x:col min="9" max="9" width="17" customWidth="1"/>
    <x:col min="10" max="10" width="18" customWidth="1"/>
    <x:col min="11" max="11" width="32" customWidth="1"/>
    <x:col min="12" max="12" width="19" customWidth="1"/>
    <x:col min="13" max="13" width="27" customWidth="1"/>
    <x:col min="14" max="14" width="18" customWidth="1"/>
    <x:col min="15" max="15" width="32" customWidth="1"/>
    <x:col min="16" max="16" width="29" customWidth="1"/>
    <x:col min="17" max="17" width="2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.950000762939453" customHeight="1">
      <x:c r="A2" s="2" t="s">
        <x:v>24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0.100000381469727" customHeight="1">
      <x:c r="A3" s="3" t="s">
        <x:v>25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9.95000076293945" customHeight="1">
      <x:c r="A5" s="4" t="s">
        <x:v>26</x:v>
      </x:c>
      <x:c r="B5" s="4" t="s">
        <x:v>27</x:v>
      </x:c>
      <x:c r="C5" s="4" t="s">
        <x:v>28</x:v>
      </x:c>
      <x:c r="D5" s="4" t="s">
        <x:v>29</x:v>
      </x:c>
      <x:c r="E5" s="4" t="s">
        <x:v>30</x:v>
      </x:c>
      <x:c r="F5" s="4" t="s">
        <x:v>31</x:v>
      </x:c>
      <x:c r="G5" s="4" t="s">
        <x:v>32</x:v>
      </x:c>
      <x:c r="H5" s="4" t="s">
        <x:v>33</x:v>
      </x:c>
      <x:c r="I5" s="4" t="s">
        <x:v>34</x:v>
      </x:c>
      <x:c r="J5" s="4" t="s">
        <x:v>35</x:v>
      </x:c>
      <x:c r="K5" s="4" t="s">
        <x:v>36</x:v>
      </x:c>
      <x:c r="L5" s="4" t="s">
        <x:v>37</x:v>
      </x:c>
      <x:c r="M5" s="4" t="s">
        <x:v>38</x:v>
      </x:c>
      <x:c r="N5" s="4" t="s">
        <x:v>39</x:v>
      </x:c>
      <x:c r="O5" s="4" t="s">
        <x:v>40</x:v>
      </x:c>
      <x:c r="P5" s="4" t="s">
        <x:v>41</x:v>
      </x:c>
      <x:c r="Q5" s="4" t="s">
        <x:v>42</x:v>
      </x:c>
    </x:row>
    <x:row r="6" ht="35.099998474121094" customHeight="1">
      <x:c r="A6" s="5" t="s">
        <x:v>43</x:v>
      </x:c>
      <x:c r="B6" s="5" t="s">
        <x:v>44</x:v>
      </x:c>
      <x:c r="C6" s="5" t="s">
        <x:v>45</x:v>
      </x:c>
      <x:c r="D6" s="5" t="s">
        <x:v>46</x:v>
      </x:c>
      <x:c r="E6" s="5" t="s">
        <x:v>47</x:v>
      </x:c>
      <x:c r="F6" s="7"/>
      <x:c r="G6" s="7"/>
      <x:c r="H6" s="7"/>
      <x:c r="I6" s="9"/>
      <x:c r="J6" s="9"/>
      <x:c r="K6" s="7"/>
      <x:c r="L6" s="7" t="s">
        <x:v>48</x:v>
      </x:c>
      <x:c r="M6" s="7"/>
      <x:c r="N6" s="8"/>
      <x:c r="O6" s="5" t="str">
        <x:f t="shared" ref="O6:O15" si="0">IF(C6&lt;&gt;"B1","Fuera de B1",IF(AND(F6&lt;&gt;"",G6&lt;&gt;"",H6&lt;&gt;"",ISNUMBER(I6),I6&gt;0,ISNUMBER(J6),J6&gt;0,K6&lt;&gt;"",L6="Confirmado",M6&lt;&gt;"",ISNUMBER(N6),P6&lt;&gt;"",Q6="Confirmado"),"Equipo confirmado","Falta compromiso nominal"))</x:f>
        <x:v>Falta compromiso nominal</x:v>
      </x:c>
      <x:c r="P6" s="7"/>
      <x:c r="Q6" s="7" t="s">
        <x:v>48</x:v>
      </x:c>
    </x:row>
    <x:row r="7" ht="35.099998474121094" customHeight="1">
      <x:c r="A7" s="6" t="s">
        <x:v>49</x:v>
      </x:c>
      <x:c r="B7" s="6" t="s">
        <x:v>50</x:v>
      </x:c>
      <x:c r="C7" s="6" t="s">
        <x:v>45</x:v>
      </x:c>
      <x:c r="D7" s="6" t="s">
        <x:v>51</x:v>
      </x:c>
      <x:c r="E7" s="6" t="s">
        <x:v>52</x:v>
      </x:c>
      <x:c r="F7" s="7"/>
      <x:c r="G7" s="7"/>
      <x:c r="H7" s="7"/>
      <x:c r="I7" s="9"/>
      <x:c r="J7" s="9"/>
      <x:c r="K7" s="7"/>
      <x:c r="L7" s="7" t="s">
        <x:v>48</x:v>
      </x:c>
      <x:c r="M7" s="7"/>
      <x:c r="N7" s="8"/>
      <x:c r="O7" s="6" t="str">
        <x:f t="shared" si="0"/>
        <x:v>Falta compromiso nominal</x:v>
      </x:c>
      <x:c r="P7" s="7"/>
      <x:c r="Q7" s="7" t="s">
        <x:v>48</x:v>
      </x:c>
    </x:row>
    <x:row r="8" ht="35.099998474121094" customHeight="1">
      <x:c r="A8" s="5" t="s">
        <x:v>53</x:v>
      </x:c>
      <x:c r="B8" s="5" t="s">
        <x:v>54</x:v>
      </x:c>
      <x:c r="C8" s="5" t="s">
        <x:v>45</x:v>
      </x:c>
      <x:c r="D8" s="5" t="s">
        <x:v>55</x:v>
      </x:c>
      <x:c r="E8" s="25" t="s">
        <x:v>56</x:v>
      </x:c>
      <x:c r="F8" s="7"/>
      <x:c r="G8" s="7"/>
      <x:c r="H8" s="7"/>
      <x:c r="I8" s="9"/>
      <x:c r="J8" s="9"/>
      <x:c r="K8" s="7"/>
      <x:c r="L8" s="7" t="s">
        <x:v>48</x:v>
      </x:c>
      <x:c r="M8" s="7"/>
      <x:c r="N8" s="8"/>
      <x:c r="O8" s="5" t="str">
        <x:f t="shared" si="0"/>
        <x:v>Falta compromiso nominal</x:v>
      </x:c>
      <x:c r="P8" s="7"/>
      <x:c r="Q8" s="7" t="s">
        <x:v>48</x:v>
      </x:c>
    </x:row>
    <x:row r="9" ht="38.25">
      <x:c r="A9" s="6" t="s">
        <x:v>57</x:v>
      </x:c>
      <x:c r="B9" s="6" t="s">
        <x:v>58</x:v>
      </x:c>
      <x:c r="C9" s="6" t="s">
        <x:v>45</x:v>
      </x:c>
      <x:c r="D9" s="6" t="s">
        <x:v>59</x:v>
      </x:c>
      <x:c r="E9" s="26" t="s">
        <x:v>60</x:v>
      </x:c>
      <x:c r="F9" s="7"/>
      <x:c r="G9" s="7"/>
      <x:c r="H9" s="7"/>
      <x:c r="I9" s="9"/>
      <x:c r="J9" s="9"/>
      <x:c r="K9" s="7"/>
      <x:c r="L9" s="7" t="s">
        <x:v>48</x:v>
      </x:c>
      <x:c r="M9" s="7"/>
      <x:c r="N9" s="8"/>
      <x:c r="O9" s="6" t="str">
        <x:f t="shared" si="0"/>
        <x:v>Falta compromiso nominal</x:v>
      </x:c>
      <x:c r="P9" s="7"/>
      <x:c r="Q9" s="7" t="s">
        <x:v>48</x:v>
      </x:c>
    </x:row>
    <x:row r="10" ht="38.25">
      <x:c r="A10" s="5" t="s">
        <x:v>61</x:v>
      </x:c>
      <x:c r="B10" s="5" t="s">
        <x:v>62</x:v>
      </x:c>
      <x:c r="C10" s="5" t="s">
        <x:v>45</x:v>
      </x:c>
      <x:c r="D10" s="5" t="s">
        <x:v>55</x:v>
      </x:c>
      <x:c r="E10" s="25" t="s">
        <x:v>60</x:v>
      </x:c>
      <x:c r="F10" s="7"/>
      <x:c r="G10" s="7"/>
      <x:c r="H10" s="7"/>
      <x:c r="I10" s="9"/>
      <x:c r="J10" s="9"/>
      <x:c r="K10" s="7"/>
      <x:c r="L10" s="7" t="s">
        <x:v>48</x:v>
      </x:c>
      <x:c r="M10" s="7"/>
      <x:c r="N10" s="8"/>
      <x:c r="O10" s="5" t="str">
        <x:f t="shared" si="0"/>
        <x:v>Falta compromiso nominal</x:v>
      </x:c>
      <x:c r="P10" s="7"/>
      <x:c r="Q10" s="7" t="s">
        <x:v>48</x:v>
      </x:c>
    </x:row>
    <x:row r="11" ht="48.599998474121094" customHeight="1">
      <x:c r="A11" s="6" t="s">
        <x:v>63</x:v>
      </x:c>
      <x:c r="B11" s="6" t="s">
        <x:v>64</x:v>
      </x:c>
      <x:c r="C11" s="6" t="s">
        <x:v>45</x:v>
      </x:c>
      <x:c r="D11" s="6" t="s">
        <x:v>65</x:v>
      </x:c>
      <x:c r="E11" s="6" t="s">
        <x:v>66</x:v>
      </x:c>
      <x:c r="F11" s="7"/>
      <x:c r="G11" s="7"/>
      <x:c r="H11" s="7"/>
      <x:c r="I11" s="9"/>
      <x:c r="J11" s="9"/>
      <x:c r="K11" s="7"/>
      <x:c r="L11" s="7" t="s">
        <x:v>48</x:v>
      </x:c>
      <x:c r="M11" s="7"/>
      <x:c r="N11" s="8"/>
      <x:c r="O11" s="6" t="str">
        <x:f t="shared" si="0"/>
        <x:v>Falta compromiso nominal</x:v>
      </x:c>
      <x:c r="P11" s="7"/>
      <x:c r="Q11" s="7" t="s">
        <x:v>48</x:v>
      </x:c>
    </x:row>
    <x:row r="12" ht="35.099998474121094" customHeight="1">
      <x:c r="A12" s="5" t="s">
        <x:v>67</x:v>
      </x:c>
      <x:c r="B12" s="5" t="s">
        <x:v>68</x:v>
      </x:c>
      <x:c r="C12" s="5" t="s">
        <x:v>45</x:v>
      </x:c>
      <x:c r="D12" s="5" t="s">
        <x:v>69</x:v>
      </x:c>
      <x:c r="E12" s="25" t="s">
        <x:v>70</x:v>
      </x:c>
      <x:c r="F12" s="7"/>
      <x:c r="G12" s="7"/>
      <x:c r="H12" s="7"/>
      <x:c r="I12" s="9"/>
      <x:c r="J12" s="9"/>
      <x:c r="K12" s="7"/>
      <x:c r="L12" s="7" t="s">
        <x:v>48</x:v>
      </x:c>
      <x:c r="M12" s="7"/>
      <x:c r="N12" s="8"/>
      <x:c r="O12" s="5" t="str">
        <x:f t="shared" si="0"/>
        <x:v>Falta compromiso nominal</x:v>
      </x:c>
      <x:c r="P12" s="7"/>
      <x:c r="Q12" s="7" t="s">
        <x:v>48</x:v>
      </x:c>
    </x:row>
    <x:row r="13" ht="35.099998474121094" customHeight="1">
      <x:c r="A13" s="6" t="s">
        <x:v>71</x:v>
      </x:c>
      <x:c r="B13" s="6" t="s">
        <x:v>72</x:v>
      </x:c>
      <x:c r="C13" s="6" t="s">
        <x:v>45</x:v>
      </x:c>
      <x:c r="D13" s="6" t="s">
        <x:v>73</x:v>
      </x:c>
      <x:c r="E13" s="26" t="s">
        <x:v>74</x:v>
      </x:c>
      <x:c r="F13" s="7"/>
      <x:c r="G13" s="7"/>
      <x:c r="H13" s="7"/>
      <x:c r="I13" s="9"/>
      <x:c r="J13" s="9"/>
      <x:c r="K13" s="7"/>
      <x:c r="L13" s="7" t="s">
        <x:v>48</x:v>
      </x:c>
      <x:c r="M13" s="7"/>
      <x:c r="N13" s="8"/>
      <x:c r="O13" s="6" t="str">
        <x:f t="shared" si="0"/>
        <x:v>Falta compromiso nominal</x:v>
      </x:c>
      <x:c r="P13" s="7"/>
      <x:c r="Q13" s="7" t="s">
        <x:v>48</x:v>
      </x:c>
    </x:row>
    <x:row r="14" ht="35.099998474121094" customHeight="1">
      <x:c r="A14" s="5" t="s">
        <x:v>75</x:v>
      </x:c>
      <x:c r="B14" s="5" t="s">
        <x:v>76</x:v>
      </x:c>
      <x:c r="C14" s="5" t="s">
        <x:v>45</x:v>
      </x:c>
      <x:c r="D14" s="5" t="s">
        <x:v>77</x:v>
      </x:c>
      <x:c r="E14" s="5" t="s">
        <x:v>78</x:v>
      </x:c>
      <x:c r="F14" s="7"/>
      <x:c r="G14" s="7"/>
      <x:c r="H14" s="7"/>
      <x:c r="I14" s="9"/>
      <x:c r="J14" s="9"/>
      <x:c r="K14" s="7"/>
      <x:c r="L14" s="7" t="s">
        <x:v>48</x:v>
      </x:c>
      <x:c r="M14" s="7"/>
      <x:c r="N14" s="8"/>
      <x:c r="O14" s="5" t="str">
        <x:f t="shared" si="0"/>
        <x:v>Falta compromiso nominal</x:v>
      </x:c>
      <x:c r="P14" s="7"/>
      <x:c r="Q14" s="7" t="s">
        <x:v>48</x:v>
      </x:c>
    </x:row>
    <x:row r="15" ht="35.099998474121094" customHeight="1">
      <x:c r="A15" s="6" t="s">
        <x:v>79</x:v>
      </x:c>
      <x:c r="B15" s="6" t="s">
        <x:v>80</x:v>
      </x:c>
      <x:c r="C15" s="6" t="s">
        <x:v>45</x:v>
      </x:c>
      <x:c r="D15" s="6" t="s">
        <x:v>81</x:v>
      </x:c>
      <x:c r="E15" s="26" t="s">
        <x:v>82</x:v>
      </x:c>
      <x:c r="F15" s="7"/>
      <x:c r="G15" s="7"/>
      <x:c r="H15" s="7"/>
      <x:c r="I15" s="9"/>
      <x:c r="J15" s="9"/>
      <x:c r="K15" s="7"/>
      <x:c r="L15" s="7" t="s">
        <x:v>48</x:v>
      </x:c>
      <x:c r="M15" s="7"/>
      <x:c r="N15" s="8"/>
      <x:c r="O15" s="6" t="str">
        <x:f t="shared" si="0"/>
        <x:v>Falta compromiso nominal</x:v>
      </x:c>
      <x:c r="P15" s="7"/>
      <x:c r="Q15" s="7" t="s">
        <x:v>48</x:v>
      </x:c>
    </x:row>
  </x:sheetData>
  <x:conditionalFormatting sqref="O6:O15">
    <x:cfRule type="containsText" dxfId="5" priority="1" operator="containsText" text="Falta"/>
  </x:conditionalFormatting>
  <x:dataValidations count="2">
    <x:dataValidation type="list" sqref="C6:C15">
      <x:formula1>"B1,B2,B3,Excluido"</x:formula1>
    </x:dataValidation>
    <x:dataValidation type="list" sqref="L6:L15 Q6:Q15">
      <x:formula1>"Sin confirmar,Confirmado"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db4e0ba95b46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9.5" customWidth="1"/>
    <x:col min="2" max="2" width="13.375" customWidth="1"/>
    <x:col min="3" max="3" width="24.625" customWidth="1"/>
    <x:col min="4" max="4" width="35.5" customWidth="1"/>
    <x:col min="5" max="6" width="5.25" customWidth="1"/>
    <x:col min="7" max="7" width="26.5" customWidth="1"/>
    <x:col min="8" max="8" width="24.25" customWidth="1"/>
    <x:col min="9" max="9" width="53.625" customWidth="1"/>
    <x:col min="10" max="10" width="20" customWidth="1"/>
    <x:col min="11" max="11" width="27" customWidth="1"/>
    <x:col min="12" max="12" width="17" customWidth="1"/>
    <x:col min="13" max="13" width="38" customWidth="1"/>
    <x:col min="14" max="14" width="27" customWidth="1"/>
    <x:col min="15" max="15" width="18" customWidth="1"/>
    <x:col min="16" max="16" width="33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.950000762939453" customHeight="1">
      <x:c r="A2" s="2" t="s">
        <x:v>83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0.100000381469727" customHeight="1">
      <x:c r="A3" s="3" t="s">
        <x:v>84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9.95000076293945" customHeight="1">
      <x:c r="A5" s="4" t="s">
        <x:v>85</x:v>
      </x:c>
      <x:c r="B5" s="4" t="s">
        <x:v>86</x:v>
      </x:c>
      <x:c r="C5" s="4" t="s">
        <x:v>87</x:v>
      </x:c>
      <x:c r="D5" s="4" t="s">
        <x:v>88</x:v>
      </x:c>
      <x:c r="E5" s="4" t="s">
        <x:v>89</x:v>
      </x:c>
      <x:c r="F5" s="4" t="s">
        <x:v>90</x:v>
      </x:c>
      <x:c r="G5" s="4" t="s">
        <x:v>91</x:v>
      </x:c>
      <x:c r="H5" s="4" t="s">
        <x:v>92</x:v>
      </x:c>
      <x:c r="I5" s="4" t="s">
        <x:v>93</x:v>
      </x:c>
      <x:c r="J5" s="4" t="s">
        <x:v>94</x:v>
      </x:c>
      <x:c r="K5" s="4" t="s">
        <x:v>95</x:v>
      </x:c>
      <x:c r="L5" s="4" t="s">
        <x:v>96</x:v>
      </x:c>
      <x:c r="M5" s="4" t="s">
        <x:v>97</x:v>
      </x:c>
      <x:c r="N5" s="4" t="s">
        <x:v>98</x:v>
      </x:c>
      <x:c r="O5" s="4" t="s">
        <x:v>39</x:v>
      </x:c>
      <x:c r="P5" s="4" t="s">
        <x:v>99</x:v>
      </x:c>
    </x:row>
    <x:row r="6" ht="25.5">
      <x:c r="A6" s="5" t="s">
        <x:v>100</x:v>
      </x:c>
      <x:c r="B6" s="5" t="s">
        <x:v>101</x:v>
      </x:c>
      <x:c r="C6" s="5" t="s">
        <x:v>102</x:v>
      </x:c>
      <x:c r="D6" s="5" t="s">
        <x:v>103</x:v>
      </x:c>
      <x:c r="E6" s="10" t="s">
        <x:v>104</x:v>
      </x:c>
      <x:c r="F6" s="10" t="s">
        <x:v>105</x:v>
      </x:c>
      <x:c r="G6" s="5"/>
      <x:c r="H6" s="5" t="s">
        <x:v>106</x:v>
      </x:c>
      <x:c r="I6" s="5" t="s">
        <x:v>107</x:v>
      </x:c>
      <x:c r="J6" s="7" t="s">
        <x:v>108</x:v>
      </x:c>
      <x:c r="K6" s="7"/>
      <x:c r="L6" s="8"/>
      <x:c r="M6" s="7"/>
      <x:c r="N6" s="7"/>
      <x:c r="O6" s="8"/>
      <x:c r="P6" s="5" t="str">
        <x:f t="shared" ref="P6:P37" si="0">IF(J6="Cerrado",IF(AND(K6&lt;&gt;"",M6&lt;&gt;"",N6&lt;&gt;"",ISNUMBER(O6)),"Cierre documentado","Falta evidencia o aceptación"),"Pendiente")</x:f>
        <x:v>Pendiente</x:v>
      </x:c>
    </x:row>
    <x:row r="7" ht="25.5">
      <x:c r="A7" s="6" t="s">
        <x:v>109</x:v>
      </x:c>
      <x:c r="B7" s="6" t="s">
        <x:v>101</x:v>
      </x:c>
      <x:c r="C7" s="6" t="s">
        <x:v>110</x:v>
      </x:c>
      <x:c r="D7" s="6" t="s">
        <x:v>111</x:v>
      </x:c>
      <x:c r="E7" s="11" t="s">
        <x:v>112</x:v>
      </x:c>
      <x:c r="F7" s="11" t="s">
        <x:v>105</x:v>
      </x:c>
      <x:c r="G7" s="6" t="s">
        <x:v>100</x:v>
      </x:c>
      <x:c r="H7" s="6" t="s">
        <x:v>113</x:v>
      </x:c>
      <x:c r="I7" s="6" t="s">
        <x:v>114</x:v>
      </x:c>
      <x:c r="J7" s="7" t="s">
        <x:v>108</x:v>
      </x:c>
      <x:c r="K7" s="7"/>
      <x:c r="L7" s="8"/>
      <x:c r="M7" s="7"/>
      <x:c r="N7" s="7"/>
      <x:c r="O7" s="8"/>
      <x:c r="P7" s="6" t="str">
        <x:f t="shared" si="0"/>
        <x:v>Pendiente</x:v>
      </x:c>
    </x:row>
    <x:row r="8" ht="25.5">
      <x:c r="A8" s="5" t="s">
        <x:v>115</x:v>
      </x:c>
      <x:c r="B8" s="5" t="s">
        <x:v>101</x:v>
      </x:c>
      <x:c r="C8" s="5" t="s">
        <x:v>116</x:v>
      </x:c>
      <x:c r="D8" s="5" t="s">
        <x:v>117</x:v>
      </x:c>
      <x:c r="E8" s="10" t="s">
        <x:v>112</x:v>
      </x:c>
      <x:c r="F8" s="10" t="s">
        <x:v>105</x:v>
      </x:c>
      <x:c r="G8" s="5" t="s">
        <x:v>109</x:v>
      </x:c>
      <x:c r="H8" s="5" t="s">
        <x:v>113</x:v>
      </x:c>
      <x:c r="I8" s="5" t="s">
        <x:v>118</x:v>
      </x:c>
      <x:c r="J8" s="7" t="s">
        <x:v>108</x:v>
      </x:c>
      <x:c r="K8" s="7"/>
      <x:c r="L8" s="8"/>
      <x:c r="M8" s="7"/>
      <x:c r="N8" s="7"/>
      <x:c r="O8" s="8"/>
      <x:c r="P8" s="5" t="str">
        <x:f t="shared" si="0"/>
        <x:v>Pendiente</x:v>
      </x:c>
    </x:row>
    <x:row r="9" ht="25.5">
      <x:c r="A9" s="6" t="s">
        <x:v>119</x:v>
      </x:c>
      <x:c r="B9" s="6" t="s">
        <x:v>101</x:v>
      </x:c>
      <x:c r="C9" s="6" t="s">
        <x:v>120</x:v>
      </x:c>
      <x:c r="D9" s="6" t="s">
        <x:v>121</x:v>
      </x:c>
      <x:c r="E9" s="11" t="s">
        <x:v>112</x:v>
      </x:c>
      <x:c r="F9" s="11" t="s">
        <x:v>105</x:v>
      </x:c>
      <x:c r="G9" s="6" t="s">
        <x:v>109</x:v>
      </x:c>
      <x:c r="H9" s="6" t="s">
        <x:v>122</x:v>
      </x:c>
      <x:c r="I9" s="6" t="s">
        <x:v>123</x:v>
      </x:c>
      <x:c r="J9" s="7" t="s">
        <x:v>108</x:v>
      </x:c>
      <x:c r="K9" s="7"/>
      <x:c r="L9" s="8"/>
      <x:c r="M9" s="7"/>
      <x:c r="N9" s="7"/>
      <x:c r="O9" s="8"/>
      <x:c r="P9" s="6" t="str">
        <x:f t="shared" si="0"/>
        <x:v>Pendiente</x:v>
      </x:c>
    </x:row>
    <x:row r="10" ht="25.5">
      <x:c r="A10" s="5" t="s">
        <x:v>124</x:v>
      </x:c>
      <x:c r="B10" s="5" t="s">
        <x:v>101</x:v>
      </x:c>
      <x:c r="C10" s="5" t="s">
        <x:v>125</x:v>
      </x:c>
      <x:c r="D10" s="5" t="s">
        <x:v>126</x:v>
      </x:c>
      <x:c r="E10" s="10" t="s">
        <x:v>112</x:v>
      </x:c>
      <x:c r="F10" s="10" t="s">
        <x:v>105</x:v>
      </x:c>
      <x:c r="G10" s="5" t="s">
        <x:v>127</x:v>
      </x:c>
      <x:c r="H10" s="5" t="s">
        <x:v>122</x:v>
      </x:c>
      <x:c r="I10" s="5" t="s">
        <x:v>128</x:v>
      </x:c>
      <x:c r="J10" s="7" t="s">
        <x:v>108</x:v>
      </x:c>
      <x:c r="K10" s="7"/>
      <x:c r="L10" s="8"/>
      <x:c r="M10" s="7"/>
      <x:c r="N10" s="7"/>
      <x:c r="O10" s="8"/>
      <x:c r="P10" s="5" t="str">
        <x:f t="shared" si="0"/>
        <x:v>Pendiente</x:v>
      </x:c>
    </x:row>
    <x:row r="11">
      <x:c r="A11" s="6" t="s">
        <x:v>129</x:v>
      </x:c>
      <x:c r="B11" s="6" t="s">
        <x:v>101</x:v>
      </x:c>
      <x:c r="C11" s="6" t="s">
        <x:v>130</x:v>
      </x:c>
      <x:c r="D11" s="6" t="s">
        <x:v>131</x:v>
      </x:c>
      <x:c r="E11" s="11" t="s">
        <x:v>112</x:v>
      </x:c>
      <x:c r="F11" s="11" t="s">
        <x:v>105</x:v>
      </x:c>
      <x:c r="G11" s="6" t="s">
        <x:v>132</x:v>
      </x:c>
      <x:c r="H11" s="6" t="s">
        <x:v>133</x:v>
      </x:c>
      <x:c r="I11" s="6" t="s">
        <x:v>134</x:v>
      </x:c>
      <x:c r="J11" s="7" t="s">
        <x:v>108</x:v>
      </x:c>
      <x:c r="K11" s="7"/>
      <x:c r="L11" s="8"/>
      <x:c r="M11" s="7"/>
      <x:c r="N11" s="7"/>
      <x:c r="O11" s="8"/>
      <x:c r="P11" s="6" t="str">
        <x:f t="shared" si="0"/>
        <x:v>Pendiente</x:v>
      </x:c>
    </x:row>
    <x:row r="12">
      <x:c r="A12" s="5" t="s">
        <x:v>135</x:v>
      </x:c>
      <x:c r="B12" s="5" t="s">
        <x:v>101</x:v>
      </x:c>
      <x:c r="C12" s="5" t="s">
        <x:v>136</x:v>
      </x:c>
      <x:c r="D12" s="5" t="s">
        <x:v>137</x:v>
      </x:c>
      <x:c r="E12" s="10" t="s">
        <x:v>138</x:v>
      </x:c>
      <x:c r="F12" s="10" t="s">
        <x:v>139</x:v>
      </x:c>
      <x:c r="G12" s="5" t="s">
        <x:v>129</x:v>
      </x:c>
      <x:c r="H12" s="5" t="s">
        <x:v>140</x:v>
      </x:c>
      <x:c r="I12" s="5" t="s">
        <x:v>141</x:v>
      </x:c>
      <x:c r="J12" s="7" t="s">
        <x:v>108</x:v>
      </x:c>
      <x:c r="K12" s="7"/>
      <x:c r="L12" s="8"/>
      <x:c r="M12" s="7"/>
      <x:c r="N12" s="7"/>
      <x:c r="O12" s="8"/>
      <x:c r="P12" s="5" t="str">
        <x:f t="shared" si="0"/>
        <x:v>Pendiente</x:v>
      </x:c>
    </x:row>
    <x:row r="13" ht="25.5">
      <x:c r="A13" s="6" t="s">
        <x:v>142</x:v>
      </x:c>
      <x:c r="B13" s="6" t="s">
        <x:v>101</x:v>
      </x:c>
      <x:c r="C13" s="6" t="s">
        <x:v>143</x:v>
      </x:c>
      <x:c r="D13" s="6" t="s">
        <x:v>144</x:v>
      </x:c>
      <x:c r="E13" s="11" t="s">
        <x:v>145</x:v>
      </x:c>
      <x:c r="F13" s="11" t="s">
        <x:v>139</x:v>
      </x:c>
      <x:c r="G13" s="6" t="s">
        <x:v>135</x:v>
      </x:c>
      <x:c r="H13" s="6" t="s">
        <x:v>140</x:v>
      </x:c>
      <x:c r="I13" s="6" t="s">
        <x:v>146</x:v>
      </x:c>
      <x:c r="J13" s="7" t="s">
        <x:v>108</x:v>
      </x:c>
      <x:c r="K13" s="7"/>
      <x:c r="L13" s="8"/>
      <x:c r="M13" s="7"/>
      <x:c r="N13" s="7"/>
      <x:c r="O13" s="8"/>
      <x:c r="P13" s="6" t="str">
        <x:f t="shared" si="0"/>
        <x:v>Pendiente</x:v>
      </x:c>
    </x:row>
    <x:row r="14" ht="25.5">
      <x:c r="A14" s="5" t="s">
        <x:v>147</x:v>
      </x:c>
      <x:c r="B14" s="5" t="s">
        <x:v>101</x:v>
      </x:c>
      <x:c r="C14" s="5" t="s">
        <x:v>148</x:v>
      </x:c>
      <x:c r="D14" s="5" t="s">
        <x:v>149</x:v>
      </x:c>
      <x:c r="E14" s="10" t="s">
        <x:v>145</x:v>
      </x:c>
      <x:c r="F14" s="10" t="s">
        <x:v>145</x:v>
      </x:c>
      <x:c r="G14" s="5" t="s">
        <x:v>129</x:v>
      </x:c>
      <x:c r="H14" s="5" t="s">
        <x:v>150</x:v>
      </x:c>
      <x:c r="I14" s="5" t="s">
        <x:v>151</x:v>
      </x:c>
      <x:c r="J14" s="7" t="s">
        <x:v>108</x:v>
      </x:c>
      <x:c r="K14" s="7"/>
      <x:c r="L14" s="8"/>
      <x:c r="M14" s="7"/>
      <x:c r="N14" s="7"/>
      <x:c r="O14" s="8"/>
      <x:c r="P14" s="5" t="str">
        <x:f t="shared" si="0"/>
        <x:v>Pendiente</x:v>
      </x:c>
    </x:row>
    <x:row r="15" ht="25.5">
      <x:c r="A15" s="6" t="s">
        <x:v>152</x:v>
      </x:c>
      <x:c r="B15" s="6" t="s">
        <x:v>101</x:v>
      </x:c>
      <x:c r="C15" s="6" t="s">
        <x:v>153</x:v>
      </x:c>
      <x:c r="D15" s="6" t="s">
        <x:v>154</x:v>
      </x:c>
      <x:c r="E15" s="11" t="s">
        <x:v>138</x:v>
      </x:c>
      <x:c r="F15" s="11" t="s">
        <x:v>139</x:v>
      </x:c>
      <x:c r="G15" s="6" t="s">
        <x:v>155</x:v>
      </x:c>
      <x:c r="H15" s="6" t="s">
        <x:v>156</x:v>
      </x:c>
      <x:c r="I15" s="6" t="s">
        <x:v>157</x:v>
      </x:c>
      <x:c r="J15" s="7" t="s">
        <x:v>108</x:v>
      </x:c>
      <x:c r="K15" s="7"/>
      <x:c r="L15" s="8"/>
      <x:c r="M15" s="7"/>
      <x:c r="N15" s="7"/>
      <x:c r="O15" s="8"/>
      <x:c r="P15" s="6" t="str">
        <x:f t="shared" si="0"/>
        <x:v>Pendiente</x:v>
      </x:c>
    </x:row>
    <x:row r="16" ht="25.5">
      <x:c r="A16" s="5" t="s">
        <x:v>158</x:v>
      </x:c>
      <x:c r="B16" s="5" t="s">
        <x:v>101</x:v>
      </x:c>
      <x:c r="C16" s="5" t="s">
        <x:v>159</x:v>
      </x:c>
      <x:c r="D16" s="5" t="s">
        <x:v>160</x:v>
      </x:c>
      <x:c r="E16" s="10" t="s">
        <x:v>104</x:v>
      </x:c>
      <x:c r="F16" s="10" t="s">
        <x:v>104</x:v>
      </x:c>
      <x:c r="G16" s="5" t="s">
        <x:v>129</x:v>
      </x:c>
      <x:c r="H16" s="5" t="s">
        <x:v>122</x:v>
      </x:c>
      <x:c r="I16" s="5" t="s">
        <x:v>161</x:v>
      </x:c>
      <x:c r="J16" s="7" t="s">
        <x:v>108</x:v>
      </x:c>
      <x:c r="K16" s="7"/>
      <x:c r="L16" s="8"/>
      <x:c r="M16" s="7"/>
      <x:c r="N16" s="7"/>
      <x:c r="O16" s="8"/>
      <x:c r="P16" s="5" t="str">
        <x:f t="shared" si="0"/>
        <x:v>Pendiente</x:v>
      </x:c>
    </x:row>
    <x:row r="17" ht="25.5">
      <x:c r="A17" s="6" t="s">
        <x:v>162</x:v>
      </x:c>
      <x:c r="B17" s="6" t="s">
        <x:v>101</x:v>
      </x:c>
      <x:c r="C17" s="6" t="s">
        <x:v>163</x:v>
      </x:c>
      <x:c r="D17" s="6" t="s">
        <x:v>164</x:v>
      </x:c>
      <x:c r="E17" s="11" t="s">
        <x:v>145</x:v>
      </x:c>
      <x:c r="F17" s="11" t="s">
        <x:v>145</x:v>
      </x:c>
      <x:c r="G17" s="6" t="s">
        <x:v>165</x:v>
      </x:c>
      <x:c r="H17" s="6" t="s">
        <x:v>166</x:v>
      </x:c>
      <x:c r="I17" s="6" t="s">
        <x:v>167</x:v>
      </x:c>
      <x:c r="J17" s="7" t="s">
        <x:v>108</x:v>
      </x:c>
      <x:c r="K17" s="7"/>
      <x:c r="L17" s="8"/>
      <x:c r="M17" s="7"/>
      <x:c r="N17" s="7"/>
      <x:c r="O17" s="8"/>
      <x:c r="P17" s="6" t="str">
        <x:f t="shared" si="0"/>
        <x:v>Pendiente</x:v>
      </x:c>
    </x:row>
    <x:row r="18" ht="25.5">
      <x:c r="A18" s="5" t="s">
        <x:v>168</x:v>
      </x:c>
      <x:c r="B18" s="5" t="s">
        <x:v>101</x:v>
      </x:c>
      <x:c r="C18" s="5" t="s">
        <x:v>169</x:v>
      </x:c>
      <x:c r="D18" s="5" t="s">
        <x:v>170</x:v>
      </x:c>
      <x:c r="E18" s="10" t="s">
        <x:v>171</x:v>
      </x:c>
      <x:c r="F18" s="10" t="s">
        <x:v>105</x:v>
      </x:c>
      <x:c r="G18" s="5" t="s">
        <x:v>119</x:v>
      </x:c>
      <x:c r="H18" s="5" t="s">
        <x:v>166</x:v>
      </x:c>
      <x:c r="I18" s="5" t="s">
        <x:v>172</x:v>
      </x:c>
      <x:c r="J18" s="7" t="s">
        <x:v>108</x:v>
      </x:c>
      <x:c r="K18" s="7"/>
      <x:c r="L18" s="8"/>
      <x:c r="M18" s="7"/>
      <x:c r="N18" s="7"/>
      <x:c r="O18" s="8"/>
      <x:c r="P18" s="5" t="str">
        <x:f t="shared" si="0"/>
        <x:v>Pendiente</x:v>
      </x:c>
    </x:row>
    <x:row r="19" ht="25.5">
      <x:c r="A19" s="6" t="s">
        <x:v>173</x:v>
      </x:c>
      <x:c r="B19" s="6" t="s">
        <x:v>101</x:v>
      </x:c>
      <x:c r="C19" s="6" t="s">
        <x:v>174</x:v>
      </x:c>
      <x:c r="D19" s="6" t="s">
        <x:v>175</x:v>
      </x:c>
      <x:c r="E19" s="11" t="s">
        <x:v>176</x:v>
      </x:c>
      <x:c r="F19" s="11" t="s">
        <x:v>104</x:v>
      </x:c>
      <x:c r="G19" s="6" t="s">
        <x:v>177</x:v>
      </x:c>
      <x:c r="H19" s="6" t="s">
        <x:v>178</x:v>
      </x:c>
      <x:c r="I19" s="6" t="s">
        <x:v>179</x:v>
      </x:c>
      <x:c r="J19" s="7" t="s">
        <x:v>108</x:v>
      </x:c>
      <x:c r="K19" s="7"/>
      <x:c r="L19" s="8"/>
      <x:c r="M19" s="7"/>
      <x:c r="N19" s="7"/>
      <x:c r="O19" s="8"/>
      <x:c r="P19" s="6" t="str">
        <x:f t="shared" si="0"/>
        <x:v>Pendiente</x:v>
      </x:c>
    </x:row>
    <x:row r="20" ht="25.5">
      <x:c r="A20" s="5" t="s">
        <x:v>180</x:v>
      </x:c>
      <x:c r="B20" s="5" t="s">
        <x:v>101</x:v>
      </x:c>
      <x:c r="C20" s="5" t="s">
        <x:v>181</x:v>
      </x:c>
      <x:c r="D20" s="5" t="s">
        <x:v>182</x:v>
      </x:c>
      <x:c r="E20" s="10" t="s">
        <x:v>138</x:v>
      </x:c>
      <x:c r="F20" s="10" t="s">
        <x:v>139</x:v>
      </x:c>
      <x:c r="G20" s="5" t="s">
        <x:v>173</x:v>
      </x:c>
      <x:c r="H20" s="5" t="s">
        <x:v>183</x:v>
      </x:c>
      <x:c r="I20" s="5" t="s">
        <x:v>184</x:v>
      </x:c>
      <x:c r="J20" s="7" t="s">
        <x:v>108</x:v>
      </x:c>
      <x:c r="K20" s="7"/>
      <x:c r="L20" s="8"/>
      <x:c r="M20" s="7"/>
      <x:c r="N20" s="7"/>
      <x:c r="O20" s="8"/>
      <x:c r="P20" s="5" t="str">
        <x:f t="shared" si="0"/>
        <x:v>Pendiente</x:v>
      </x:c>
    </x:row>
    <x:row r="21" ht="25.5">
      <x:c r="A21" s="6" t="s">
        <x:v>185</x:v>
      </x:c>
      <x:c r="B21" s="6" t="s">
        <x:v>61</x:v>
      </x:c>
      <x:c r="C21" s="6" t="s">
        <x:v>186</x:v>
      </x:c>
      <x:c r="D21" s="6" t="s">
        <x:v>187</x:v>
      </x:c>
      <x:c r="E21" s="11" t="s">
        <x:v>138</x:v>
      </x:c>
      <x:c r="F21" s="11" t="s">
        <x:v>139</x:v>
      </x:c>
      <x:c r="G21" s="6" t="s">
        <x:v>188</x:v>
      </x:c>
      <x:c r="H21" s="6" t="s">
        <x:v>189</x:v>
      </x:c>
      <x:c r="I21" s="6" t="s">
        <x:v>190</x:v>
      </x:c>
      <x:c r="J21" s="7" t="s">
        <x:v>108</x:v>
      </x:c>
      <x:c r="K21" s="7"/>
      <x:c r="L21" s="8"/>
      <x:c r="M21" s="7"/>
      <x:c r="N21" s="7"/>
      <x:c r="O21" s="8"/>
      <x:c r="P21" s="6" t="str">
        <x:f t="shared" si="0"/>
        <x:v>Pendiente</x:v>
      </x:c>
    </x:row>
    <x:row r="22" ht="25.5">
      <x:c r="A22" s="5" t="s">
        <x:v>191</x:v>
      </x:c>
      <x:c r="B22" s="5" t="s">
        <x:v>101</x:v>
      </x:c>
      <x:c r="C22" s="5" t="s">
        <x:v>192</x:v>
      </x:c>
      <x:c r="D22" s="5" t="s">
        <x:v>193</x:v>
      </x:c>
      <x:c r="E22" s="10" t="s">
        <x:v>138</x:v>
      </x:c>
      <x:c r="F22" s="10" t="s">
        <x:v>139</x:v>
      </x:c>
      <x:c r="G22" s="5" t="s">
        <x:v>180</x:v>
      </x:c>
      <x:c r="H22" s="5" t="s">
        <x:v>194</x:v>
      </x:c>
      <x:c r="I22" s="5" t="s">
        <x:v>195</x:v>
      </x:c>
      <x:c r="J22" s="7" t="s">
        <x:v>108</x:v>
      </x:c>
      <x:c r="K22" s="7"/>
      <x:c r="L22" s="8"/>
      <x:c r="M22" s="7"/>
      <x:c r="N22" s="7"/>
      <x:c r="O22" s="8"/>
      <x:c r="P22" s="5" t="str">
        <x:f t="shared" si="0"/>
        <x:v>Pendiente</x:v>
      </x:c>
    </x:row>
    <x:row r="23" ht="25.5">
      <x:c r="A23" s="6" t="s">
        <x:v>196</x:v>
      </x:c>
      <x:c r="B23" s="6" t="s">
        <x:v>63</x:v>
      </x:c>
      <x:c r="C23" s="6" t="s">
        <x:v>197</x:v>
      </x:c>
      <x:c r="D23" s="6" t="s">
        <x:v>198</x:v>
      </x:c>
      <x:c r="E23" s="11" t="s">
        <x:v>145</x:v>
      </x:c>
      <x:c r="F23" s="11" t="s">
        <x:v>145</x:v>
      </x:c>
      <x:c r="G23" s="6" t="s">
        <x:v>199</x:v>
      </x:c>
      <x:c r="H23" s="6" t="s">
        <x:v>200</x:v>
      </x:c>
      <x:c r="I23" s="6" t="s">
        <x:v>201</x:v>
      </x:c>
      <x:c r="J23" s="7" t="s">
        <x:v>108</x:v>
      </x:c>
      <x:c r="K23" s="7"/>
      <x:c r="L23" s="8"/>
      <x:c r="M23" s="7"/>
      <x:c r="N23" s="7"/>
      <x:c r="O23" s="8"/>
      <x:c r="P23" s="6" t="str">
        <x:f t="shared" si="0"/>
        <x:v>Pendiente</x:v>
      </x:c>
    </x:row>
    <x:row r="24" ht="25.5">
      <x:c r="A24" s="5" t="s">
        <x:v>202</x:v>
      </x:c>
      <x:c r="B24" s="5" t="s">
        <x:v>75</x:v>
      </x:c>
      <x:c r="C24" s="5" t="s">
        <x:v>203</x:v>
      </x:c>
      <x:c r="D24" s="5" t="s">
        <x:v>204</x:v>
      </x:c>
      <x:c r="E24" s="10" t="s">
        <x:v>104</x:v>
      </x:c>
      <x:c r="F24" s="10" t="s">
        <x:v>104</x:v>
      </x:c>
      <x:c r="G24" s="5" t="s">
        <x:v>205</x:v>
      </x:c>
      <x:c r="H24" s="5" t="s">
        <x:v>206</x:v>
      </x:c>
      <x:c r="I24" s="5" t="s">
        <x:v>207</x:v>
      </x:c>
      <x:c r="J24" s="7" t="s">
        <x:v>108</x:v>
      </x:c>
      <x:c r="K24" s="7"/>
      <x:c r="L24" s="8"/>
      <x:c r="M24" s="7"/>
      <x:c r="N24" s="7"/>
      <x:c r="O24" s="8"/>
      <x:c r="P24" s="5" t="str">
        <x:f t="shared" si="0"/>
        <x:v>Pendiente</x:v>
      </x:c>
    </x:row>
    <x:row r="25" ht="25.5">
      <x:c r="A25" s="6" t="s">
        <x:v>208</x:v>
      </x:c>
      <x:c r="B25" s="6" t="s">
        <x:v>61</x:v>
      </x:c>
      <x:c r="C25" s="6" t="s">
        <x:v>209</x:v>
      </x:c>
      <x:c r="D25" s="6" t="s">
        <x:v>210</x:v>
      </x:c>
      <x:c r="E25" s="11" t="s">
        <x:v>138</x:v>
      </x:c>
      <x:c r="F25" s="11" t="s">
        <x:v>139</x:v>
      </x:c>
      <x:c r="G25" s="6" t="s">
        <x:v>211</x:v>
      </x:c>
      <x:c r="H25" s="6" t="s">
        <x:v>212</x:v>
      </x:c>
      <x:c r="I25" s="6" t="s">
        <x:v>213</x:v>
      </x:c>
      <x:c r="J25" s="7" t="s">
        <x:v>108</x:v>
      </x:c>
      <x:c r="K25" s="7"/>
      <x:c r="L25" s="8"/>
      <x:c r="M25" s="7"/>
      <x:c r="N25" s="7"/>
      <x:c r="O25" s="8"/>
      <x:c r="P25" s="6" t="str">
        <x:f t="shared" si="0"/>
        <x:v>Pendiente</x:v>
      </x:c>
    </x:row>
    <x:row r="26" ht="25.5">
      <x:c r="A26" s="5" t="s">
        <x:v>214</x:v>
      </x:c>
      <x:c r="B26" s="5" t="s">
        <x:v>63</x:v>
      </x:c>
      <x:c r="C26" s="5" t="s">
        <x:v>215</x:v>
      </x:c>
      <x:c r="D26" s="5" t="s">
        <x:v>216</x:v>
      </x:c>
      <x:c r="E26" s="10" t="s">
        <x:v>176</x:v>
      </x:c>
      <x:c r="F26" s="10" t="s">
        <x:v>104</x:v>
      </x:c>
      <x:c r="G26" s="5" t="s">
        <x:v>217</x:v>
      </x:c>
      <x:c r="H26" s="5" t="s">
        <x:v>218</x:v>
      </x:c>
      <x:c r="I26" s="5" t="s">
        <x:v>219</x:v>
      </x:c>
      <x:c r="J26" s="7" t="s">
        <x:v>108</x:v>
      </x:c>
      <x:c r="K26" s="7"/>
      <x:c r="L26" s="8"/>
      <x:c r="M26" s="7"/>
      <x:c r="N26" s="7"/>
      <x:c r="O26" s="8"/>
      <x:c r="P26" s="5" t="str">
        <x:f t="shared" si="0"/>
        <x:v>Pendiente</x:v>
      </x:c>
    </x:row>
    <x:row r="27" ht="25.5">
      <x:c r="A27" s="6" t="s">
        <x:v>220</x:v>
      </x:c>
      <x:c r="B27" s="6" t="s">
        <x:v>67</x:v>
      </x:c>
      <x:c r="C27" s="6" t="s">
        <x:v>221</x:v>
      </x:c>
      <x:c r="D27" s="6" t="s">
        <x:v>222</x:v>
      </x:c>
      <x:c r="E27" s="11" t="s">
        <x:v>138</x:v>
      </x:c>
      <x:c r="F27" s="11" t="s">
        <x:v>139</x:v>
      </x:c>
      <x:c r="G27" s="6" t="s">
        <x:v>223</x:v>
      </x:c>
      <x:c r="H27" s="6" t="s">
        <x:v>224</x:v>
      </x:c>
      <x:c r="I27" s="6" t="s">
        <x:v>225</x:v>
      </x:c>
      <x:c r="J27" s="7" t="s">
        <x:v>108</x:v>
      </x:c>
      <x:c r="K27" s="7"/>
      <x:c r="L27" s="8"/>
      <x:c r="M27" s="7"/>
      <x:c r="N27" s="7"/>
      <x:c r="O27" s="8"/>
      <x:c r="P27" s="6" t="str">
        <x:f t="shared" si="0"/>
        <x:v>Pendiente</x:v>
      </x:c>
    </x:row>
    <x:row r="28" ht="25.5">
      <x:c r="A28" s="5" t="s">
        <x:v>226</x:v>
      </x:c>
      <x:c r="B28" s="5" t="s">
        <x:v>79</x:v>
      </x:c>
      <x:c r="C28" s="5" t="s">
        <x:v>227</x:v>
      </x:c>
      <x:c r="D28" s="5" t="s">
        <x:v>228</x:v>
      </x:c>
      <x:c r="E28" s="10" t="s">
        <x:v>145</x:v>
      </x:c>
      <x:c r="F28" s="10" t="s">
        <x:v>145</x:v>
      </x:c>
      <x:c r="G28" s="5" t="s">
        <x:v>165</x:v>
      </x:c>
      <x:c r="H28" s="5" t="s">
        <x:v>229</x:v>
      </x:c>
      <x:c r="I28" s="5" t="s">
        <x:v>230</x:v>
      </x:c>
      <x:c r="J28" s="7" t="s">
        <x:v>108</x:v>
      </x:c>
      <x:c r="K28" s="7"/>
      <x:c r="L28" s="8"/>
      <x:c r="M28" s="7"/>
      <x:c r="N28" s="7"/>
      <x:c r="O28" s="8"/>
      <x:c r="P28" s="5" t="str">
        <x:f t="shared" si="0"/>
        <x:v>Pendiente</x:v>
      </x:c>
    </x:row>
    <x:row r="29" ht="25.5">
      <x:c r="A29" s="6" t="s">
        <x:v>231</x:v>
      </x:c>
      <x:c r="B29" s="6" t="s">
        <x:v>49</x:v>
      </x:c>
      <x:c r="C29" s="6" t="s">
        <x:v>232</x:v>
      </x:c>
      <x:c r="D29" s="6" t="s">
        <x:v>233</x:v>
      </x:c>
      <x:c r="E29" s="11" t="s">
        <x:v>138</x:v>
      </x:c>
      <x:c r="F29" s="11" t="s">
        <x:v>139</x:v>
      </x:c>
      <x:c r="G29" s="6" t="s">
        <x:v>234</x:v>
      </x:c>
      <x:c r="H29" s="6" t="s">
        <x:v>235</x:v>
      </x:c>
      <x:c r="I29" s="6" t="s">
        <x:v>236</x:v>
      </x:c>
      <x:c r="J29" s="7" t="s">
        <x:v>108</x:v>
      </x:c>
      <x:c r="K29" s="7"/>
      <x:c r="L29" s="8"/>
      <x:c r="M29" s="7"/>
      <x:c r="N29" s="7"/>
      <x:c r="O29" s="8"/>
      <x:c r="P29" s="6" t="str">
        <x:f t="shared" si="0"/>
        <x:v>Pendiente</x:v>
      </x:c>
    </x:row>
    <x:row r="30" ht="38.25">
      <x:c r="A30" s="5" t="s">
        <x:v>237</x:v>
      </x:c>
      <x:c r="B30" s="5" t="s">
        <x:v>43</x:v>
      </x:c>
      <x:c r="C30" s="5" t="s">
        <x:v>238</x:v>
      </x:c>
      <x:c r="D30" s="5" t="s">
        <x:v>239</x:v>
      </x:c>
      <x:c r="E30" s="10" t="s">
        <x:v>112</x:v>
      </x:c>
      <x:c r="F30" s="10" t="s">
        <x:v>139</x:v>
      </x:c>
      <x:c r="G30" s="5" t="s">
        <x:v>135</x:v>
      </x:c>
      <x:c r="H30" s="5" t="s">
        <x:v>240</x:v>
      </x:c>
      <x:c r="I30" s="5" t="s">
        <x:v>241</x:v>
      </x:c>
      <x:c r="J30" s="7" t="s">
        <x:v>108</x:v>
      </x:c>
      <x:c r="K30" s="7"/>
      <x:c r="L30" s="8"/>
      <x:c r="M30" s="7"/>
      <x:c r="N30" s="7"/>
      <x:c r="O30" s="8"/>
      <x:c r="P30" s="5" t="str">
        <x:f t="shared" si="0"/>
        <x:v>Pendiente</x:v>
      </x:c>
    </x:row>
    <x:row r="31" ht="25.5">
      <x:c r="A31" s="6" t="s">
        <x:v>242</x:v>
      </x:c>
      <x:c r="B31" s="6" t="s">
        <x:v>43</x:v>
      </x:c>
      <x:c r="C31" s="6" t="s">
        <x:v>243</x:v>
      </x:c>
      <x:c r="D31" s="6" t="s">
        <x:v>244</x:v>
      </x:c>
      <x:c r="E31" s="11" t="s">
        <x:v>138</x:v>
      </x:c>
      <x:c r="F31" s="11" t="s">
        <x:v>139</x:v>
      </x:c>
      <x:c r="G31" s="6" t="s">
        <x:v>245</x:v>
      </x:c>
      <x:c r="H31" s="6" t="s">
        <x:v>246</x:v>
      </x:c>
      <x:c r="I31" s="6" t="s">
        <x:v>247</x:v>
      </x:c>
      <x:c r="J31" s="7" t="s">
        <x:v>108</x:v>
      </x:c>
      <x:c r="K31" s="7"/>
      <x:c r="L31" s="8"/>
      <x:c r="M31" s="7"/>
      <x:c r="N31" s="7"/>
      <x:c r="O31" s="8"/>
      <x:c r="P31" s="6" t="str">
        <x:f t="shared" si="0"/>
        <x:v>Pendiente</x:v>
      </x:c>
    </x:row>
    <x:row r="32" ht="25.5">
      <x:c r="A32" s="5" t="s">
        <x:v>248</x:v>
      </x:c>
      <x:c r="B32" s="5" t="s">
        <x:v>43</x:v>
      </x:c>
      <x:c r="C32" s="5" t="s">
        <x:v>249</x:v>
      </x:c>
      <x:c r="D32" s="5" t="s">
        <x:v>250</x:v>
      </x:c>
      <x:c r="E32" s="10" t="s">
        <x:v>138</x:v>
      </x:c>
      <x:c r="F32" s="10" t="s">
        <x:v>139</x:v>
      </x:c>
      <x:c r="G32" s="5" t="s">
        <x:v>242</x:v>
      </x:c>
      <x:c r="H32" s="5" t="s">
        <x:v>246</x:v>
      </x:c>
      <x:c r="I32" s="5" t="s">
        <x:v>251</x:v>
      </x:c>
      <x:c r="J32" s="7" t="s">
        <x:v>108</x:v>
      </x:c>
      <x:c r="K32" s="7"/>
      <x:c r="L32" s="8"/>
      <x:c r="M32" s="7"/>
      <x:c r="N32" s="7"/>
      <x:c r="O32" s="8"/>
      <x:c r="P32" s="5" t="str">
        <x:f t="shared" si="0"/>
        <x:v>Pendiente</x:v>
      </x:c>
    </x:row>
    <x:row r="33" ht="38.25">
      <x:c r="A33" s="6" t="s">
        <x:v>252</x:v>
      </x:c>
      <x:c r="B33" s="6" t="s">
        <x:v>43</x:v>
      </x:c>
      <x:c r="C33" s="6" t="s">
        <x:v>253</x:v>
      </x:c>
      <x:c r="D33" s="6" t="s">
        <x:v>254</x:v>
      </x:c>
      <x:c r="E33" s="11" t="s">
        <x:v>255</x:v>
      </x:c>
      <x:c r="F33" s="11" t="s">
        <x:v>104</x:v>
      </x:c>
      <x:c r="G33" s="6" t="str">
        <x:v>3.01.02;2.20</x:v>
      </x:c>
      <x:c r="H33" s="6" t="s">
        <x:v>246</x:v>
      </x:c>
      <x:c r="I33" s="6" t="s">
        <x:v>256</x:v>
      </x:c>
      <x:c r="J33" s="7" t="s">
        <x:v>108</x:v>
      </x:c>
      <x:c r="K33" s="7"/>
      <x:c r="L33" s="8"/>
      <x:c r="M33" s="7"/>
      <x:c r="N33" s="7"/>
      <x:c r="O33" s="8"/>
      <x:c r="P33" s="6" t="str">
        <x:f t="shared" si="0"/>
        <x:v>Pendiente</x:v>
      </x:c>
    </x:row>
    <x:row r="34" ht="25.5">
      <x:c r="A34" s="5" t="s">
        <x:v>257</x:v>
      </x:c>
      <x:c r="B34" s="5" t="s">
        <x:v>43</x:v>
      </x:c>
      <x:c r="C34" s="5" t="s">
        <x:v>258</x:v>
      </x:c>
      <x:c r="D34" s="5" t="s">
        <x:v>259</x:v>
      </x:c>
      <x:c r="E34" s="10" t="s">
        <x:v>138</x:v>
      </x:c>
      <x:c r="F34" s="10" t="s">
        <x:v>139</x:v>
      </x:c>
      <x:c r="G34" s="5" t="s">
        <x:v>252</x:v>
      </x:c>
      <x:c r="H34" s="5" t="s">
        <x:v>246</x:v>
      </x:c>
      <x:c r="I34" s="5" t="s">
        <x:v>260</x:v>
      </x:c>
      <x:c r="J34" s="7" t="s">
        <x:v>108</x:v>
      </x:c>
      <x:c r="K34" s="7"/>
      <x:c r="L34" s="8"/>
      <x:c r="M34" s="7"/>
      <x:c r="N34" s="7"/>
      <x:c r="O34" s="8"/>
      <x:c r="P34" s="5" t="str">
        <x:f t="shared" si="0"/>
        <x:v>Pendiente</x:v>
      </x:c>
    </x:row>
    <x:row r="35" ht="51">
      <x:c r="A35" s="6" t="s">
        <x:v>261</x:v>
      </x:c>
      <x:c r="B35" s="6" t="s">
        <x:v>43</x:v>
      </x:c>
      <x:c r="C35" s="6" t="s">
        <x:v>262</x:v>
      </x:c>
      <x:c r="D35" s="6" t="s">
        <x:v>263</x:v>
      </x:c>
      <x:c r="E35" s="11" t="s">
        <x:v>138</x:v>
      </x:c>
      <x:c r="F35" s="11" t="s">
        <x:v>139</x:v>
      </x:c>
      <x:c r="G35" s="6" t="s">
        <x:v>264</x:v>
      </x:c>
      <x:c r="H35" s="6" t="s">
        <x:v>246</x:v>
      </x:c>
      <x:c r="I35" s="6" t="s">
        <x:v>265</x:v>
      </x:c>
      <x:c r="J35" s="7" t="s">
        <x:v>108</x:v>
      </x:c>
      <x:c r="K35" s="7"/>
      <x:c r="L35" s="8"/>
      <x:c r="M35" s="7"/>
      <x:c r="N35" s="7"/>
      <x:c r="O35" s="8"/>
      <x:c r="P35" s="6" t="str">
        <x:f t="shared" si="0"/>
        <x:v>Pendiente</x:v>
      </x:c>
    </x:row>
    <x:row r="36" ht="25.5">
      <x:c r="A36" s="5" t="s">
        <x:v>266</x:v>
      </x:c>
      <x:c r="B36" s="5" t="s">
        <x:v>43</x:v>
      </x:c>
      <x:c r="C36" s="5" t="s">
        <x:v>267</x:v>
      </x:c>
      <x:c r="D36" s="5" t="s">
        <x:v>268</x:v>
      </x:c>
      <x:c r="E36" s="10" t="s">
        <x:v>138</x:v>
      </x:c>
      <x:c r="F36" s="10" t="s">
        <x:v>139</x:v>
      </x:c>
      <x:c r="G36" s="5" t="s">
        <x:v>269</x:v>
      </x:c>
      <x:c r="H36" s="5" t="s">
        <x:v>270</x:v>
      </x:c>
      <x:c r="I36" s="5" t="s">
        <x:v>271</x:v>
      </x:c>
      <x:c r="J36" s="7" t="s">
        <x:v>108</x:v>
      </x:c>
      <x:c r="K36" s="7"/>
      <x:c r="L36" s="8"/>
      <x:c r="M36" s="7"/>
      <x:c r="N36" s="7"/>
      <x:c r="O36" s="8"/>
      <x:c r="P36" s="5" t="str">
        <x:f t="shared" si="0"/>
        <x:v>Pendiente</x:v>
      </x:c>
    </x:row>
    <x:row r="37" ht="38.25">
      <x:c r="A37" s="6" t="s">
        <x:v>272</x:v>
      </x:c>
      <x:c r="B37" s="6" t="s">
        <x:v>43</x:v>
      </x:c>
      <x:c r="C37" s="6" t="s">
        <x:v>273</x:v>
      </x:c>
      <x:c r="D37" s="6" t="s">
        <x:v>274</x:v>
      </x:c>
      <x:c r="E37" s="11" t="s">
        <x:v>138</x:v>
      </x:c>
      <x:c r="F37" s="11" t="s">
        <x:v>139</x:v>
      </x:c>
      <x:c r="G37" s="6" t="str">
        <x:v>3.01.06;2.21</x:v>
      </x:c>
      <x:c r="H37" s="6" t="s">
        <x:v>275</x:v>
      </x:c>
      <x:c r="I37" s="6" t="s">
        <x:v>276</x:v>
      </x:c>
      <x:c r="J37" s="7" t="s">
        <x:v>108</x:v>
      </x:c>
      <x:c r="K37" s="7"/>
      <x:c r="L37" s="8"/>
      <x:c r="M37" s="7"/>
      <x:c r="N37" s="7"/>
      <x:c r="O37" s="8"/>
      <x:c r="P37" s="6" t="str">
        <x:f t="shared" si="0"/>
        <x:v>Pendiente</x:v>
      </x:c>
    </x:row>
    <x:row r="38" ht="25.5">
      <x:c r="A38" s="5" t="s">
        <x:v>277</x:v>
      </x:c>
      <x:c r="B38" s="5" t="s">
        <x:v>43</x:v>
      </x:c>
      <x:c r="C38" s="5" t="s">
        <x:v>278</x:v>
      </x:c>
      <x:c r="D38" s="5" t="s">
        <x:v>279</x:v>
      </x:c>
      <x:c r="E38" s="10" t="s">
        <x:v>138</x:v>
      </x:c>
      <x:c r="F38" s="10" t="s">
        <x:v>139</x:v>
      </x:c>
      <x:c r="G38" s="5" t="s">
        <x:v>272</x:v>
      </x:c>
      <x:c r="H38" s="5" t="s">
        <x:v>275</x:v>
      </x:c>
      <x:c r="I38" s="5" t="s">
        <x:v>280</x:v>
      </x:c>
      <x:c r="J38" s="7" t="s">
        <x:v>108</x:v>
      </x:c>
      <x:c r="K38" s="7"/>
      <x:c r="L38" s="8"/>
      <x:c r="M38" s="7"/>
      <x:c r="N38" s="7"/>
      <x:c r="O38" s="8"/>
      <x:c r="P38" s="5" t="str">
        <x:f t="shared" ref="P38:P69" si="1">IF(J38="Cerrado",IF(AND(K38&lt;&gt;"",M38&lt;&gt;"",N38&lt;&gt;"",ISNUMBER(O38)),"Cierre documentado","Falta evidencia o aceptación"),"Pendiente")</x:f>
        <x:v>Pendiente</x:v>
      </x:c>
    </x:row>
    <x:row r="39" ht="38.25">
      <x:c r="A39" s="6" t="s">
        <x:v>281</x:v>
      </x:c>
      <x:c r="B39" s="6" t="s">
        <x:v>49</x:v>
      </x:c>
      <x:c r="C39" s="6" t="s">
        <x:v>243</x:v>
      </x:c>
      <x:c r="D39" s="6" t="s">
        <x:v>282</x:v>
      </x:c>
      <x:c r="E39" s="11" t="s">
        <x:v>138</x:v>
      </x:c>
      <x:c r="F39" s="11" t="s">
        <x:v>139</x:v>
      </x:c>
      <x:c r="G39" s="6" t="s">
        <x:v>245</x:v>
      </x:c>
      <x:c r="H39" s="6" t="s">
        <x:v>246</x:v>
      </x:c>
      <x:c r="I39" s="6" t="s">
        <x:v>247</x:v>
      </x:c>
      <x:c r="J39" s="7" t="s">
        <x:v>108</x:v>
      </x:c>
      <x:c r="K39" s="7"/>
      <x:c r="L39" s="8"/>
      <x:c r="M39" s="7"/>
      <x:c r="N39" s="7"/>
      <x:c r="O39" s="8"/>
      <x:c r="P39" s="6" t="str">
        <x:f t="shared" si="1"/>
        <x:v>Pendiente</x:v>
      </x:c>
    </x:row>
    <x:row r="40" ht="25.5">
      <x:c r="A40" s="5" t="s">
        <x:v>234</x:v>
      </x:c>
      <x:c r="B40" s="5" t="s">
        <x:v>49</x:v>
      </x:c>
      <x:c r="C40" s="5" t="s">
        <x:v>249</x:v>
      </x:c>
      <x:c r="D40" s="5" t="s">
        <x:v>283</x:v>
      </x:c>
      <x:c r="E40" s="10" t="s">
        <x:v>138</x:v>
      </x:c>
      <x:c r="F40" s="10" t="s">
        <x:v>139</x:v>
      </x:c>
      <x:c r="G40" s="5" t="s">
        <x:v>281</x:v>
      </x:c>
      <x:c r="H40" s="5" t="s">
        <x:v>246</x:v>
      </x:c>
      <x:c r="I40" s="5" t="s">
        <x:v>251</x:v>
      </x:c>
      <x:c r="J40" s="7" t="s">
        <x:v>108</x:v>
      </x:c>
      <x:c r="K40" s="7"/>
      <x:c r="L40" s="8"/>
      <x:c r="M40" s="7"/>
      <x:c r="N40" s="7"/>
      <x:c r="O40" s="8"/>
      <x:c r="P40" s="5" t="str">
        <x:f t="shared" si="1"/>
        <x:v>Pendiente</x:v>
      </x:c>
    </x:row>
    <x:row r="41" ht="38.25">
      <x:c r="A41" s="6" t="s">
        <x:v>284</x:v>
      </x:c>
      <x:c r="B41" s="6" t="s">
        <x:v>49</x:v>
      </x:c>
      <x:c r="C41" s="6" t="s">
        <x:v>253</x:v>
      </x:c>
      <x:c r="D41" s="6" t="s">
        <x:v>285</x:v>
      </x:c>
      <x:c r="E41" s="11" t="s">
        <x:v>255</x:v>
      </x:c>
      <x:c r="F41" s="11" t="s">
        <x:v>104</x:v>
      </x:c>
      <x:c r="G41" s="6" t="str">
        <x:v>3.02.02;2.20</x:v>
      </x:c>
      <x:c r="H41" s="6" t="s">
        <x:v>246</x:v>
      </x:c>
      <x:c r="I41" s="6" t="s">
        <x:v>256</x:v>
      </x:c>
      <x:c r="J41" s="7" t="s">
        <x:v>108</x:v>
      </x:c>
      <x:c r="K41" s="7"/>
      <x:c r="L41" s="8"/>
      <x:c r="M41" s="7"/>
      <x:c r="N41" s="7"/>
      <x:c r="O41" s="8"/>
      <x:c r="P41" s="6" t="str">
        <x:f t="shared" si="1"/>
        <x:v>Pendiente</x:v>
      </x:c>
    </x:row>
    <x:row r="42" ht="25.5">
      <x:c r="A42" s="5" t="s">
        <x:v>286</x:v>
      </x:c>
      <x:c r="B42" s="5" t="s">
        <x:v>49</x:v>
      </x:c>
      <x:c r="C42" s="5" t="s">
        <x:v>258</x:v>
      </x:c>
      <x:c r="D42" s="5" t="s">
        <x:v>287</x:v>
      </x:c>
      <x:c r="E42" s="10" t="s">
        <x:v>138</x:v>
      </x:c>
      <x:c r="F42" s="10" t="s">
        <x:v>139</x:v>
      </x:c>
      <x:c r="G42" s="5" t="s">
        <x:v>284</x:v>
      </x:c>
      <x:c r="H42" s="5" t="s">
        <x:v>246</x:v>
      </x:c>
      <x:c r="I42" s="5" t="s">
        <x:v>260</x:v>
      </x:c>
      <x:c r="J42" s="7" t="s">
        <x:v>108</x:v>
      </x:c>
      <x:c r="K42" s="7"/>
      <x:c r="L42" s="8"/>
      <x:c r="M42" s="7"/>
      <x:c r="N42" s="7"/>
      <x:c r="O42" s="8"/>
      <x:c r="P42" s="5" t="str">
        <x:f t="shared" si="1"/>
        <x:v>Pendiente</x:v>
      </x:c>
    </x:row>
    <x:row r="43" ht="38.25">
      <x:c r="A43" s="6" t="s">
        <x:v>288</x:v>
      </x:c>
      <x:c r="B43" s="6" t="s">
        <x:v>49</x:v>
      </x:c>
      <x:c r="C43" s="6" t="s">
        <x:v>262</x:v>
      </x:c>
      <x:c r="D43" s="6" t="s">
        <x:v>289</x:v>
      </x:c>
      <x:c r="E43" s="11" t="s">
        <x:v>138</x:v>
      </x:c>
      <x:c r="F43" s="11" t="s">
        <x:v>139</x:v>
      </x:c>
      <x:c r="G43" s="6" t="s">
        <x:v>290</x:v>
      </x:c>
      <x:c r="H43" s="6" t="s">
        <x:v>246</x:v>
      </x:c>
      <x:c r="I43" s="6" t="s">
        <x:v>265</x:v>
      </x:c>
      <x:c r="J43" s="7" t="s">
        <x:v>108</x:v>
      </x:c>
      <x:c r="K43" s="7"/>
      <x:c r="L43" s="8"/>
      <x:c r="M43" s="7"/>
      <x:c r="N43" s="7"/>
      <x:c r="O43" s="8"/>
      <x:c r="P43" s="6" t="str">
        <x:f t="shared" si="1"/>
        <x:v>Pendiente</x:v>
      </x:c>
    </x:row>
    <x:row r="44" ht="25.5">
      <x:c r="A44" s="5" t="s">
        <x:v>291</x:v>
      </x:c>
      <x:c r="B44" s="5" t="s">
        <x:v>49</x:v>
      </x:c>
      <x:c r="C44" s="5" t="s">
        <x:v>267</x:v>
      </x:c>
      <x:c r="D44" s="5" t="s">
        <x:v>292</x:v>
      </x:c>
      <x:c r="E44" s="10" t="s">
        <x:v>138</x:v>
      </x:c>
      <x:c r="F44" s="10" t="s">
        <x:v>139</x:v>
      </x:c>
      <x:c r="G44" s="5" t="s">
        <x:v>293</x:v>
      </x:c>
      <x:c r="H44" s="5" t="s">
        <x:v>270</x:v>
      </x:c>
      <x:c r="I44" s="5" t="s">
        <x:v>271</x:v>
      </x:c>
      <x:c r="J44" s="7" t="s">
        <x:v>108</x:v>
      </x:c>
      <x:c r="K44" s="7"/>
      <x:c r="L44" s="8"/>
      <x:c r="M44" s="7"/>
      <x:c r="N44" s="7"/>
      <x:c r="O44" s="8"/>
      <x:c r="P44" s="5" t="str">
        <x:f t="shared" si="1"/>
        <x:v>Pendiente</x:v>
      </x:c>
    </x:row>
    <x:row r="45" ht="38.25">
      <x:c r="A45" s="6" t="s">
        <x:v>294</x:v>
      </x:c>
      <x:c r="B45" s="6" t="s">
        <x:v>49</x:v>
      </x:c>
      <x:c r="C45" s="6" t="s">
        <x:v>273</x:v>
      </x:c>
      <x:c r="D45" s="6" t="s">
        <x:v>295</x:v>
      </x:c>
      <x:c r="E45" s="11" t="s">
        <x:v>138</x:v>
      </x:c>
      <x:c r="F45" s="11" t="s">
        <x:v>139</x:v>
      </x:c>
      <x:c r="G45" s="6" t="str">
        <x:v>3.02.06;2.21</x:v>
      </x:c>
      <x:c r="H45" s="6" t="s">
        <x:v>275</x:v>
      </x:c>
      <x:c r="I45" s="6" t="s">
        <x:v>276</x:v>
      </x:c>
      <x:c r="J45" s="7" t="s">
        <x:v>108</x:v>
      </x:c>
      <x:c r="K45" s="7"/>
      <x:c r="L45" s="8"/>
      <x:c r="M45" s="7"/>
      <x:c r="N45" s="7"/>
      <x:c r="O45" s="8"/>
      <x:c r="P45" s="6" t="str">
        <x:f t="shared" si="1"/>
        <x:v>Pendiente</x:v>
      </x:c>
    </x:row>
    <x:row r="46" ht="25.5">
      <x:c r="A46" s="5" t="s">
        <x:v>296</x:v>
      </x:c>
      <x:c r="B46" s="5" t="s">
        <x:v>49</x:v>
      </x:c>
      <x:c r="C46" s="5" t="s">
        <x:v>278</x:v>
      </x:c>
      <x:c r="D46" s="5" t="s">
        <x:v>279</x:v>
      </x:c>
      <x:c r="E46" s="10" t="s">
        <x:v>138</x:v>
      </x:c>
      <x:c r="F46" s="10" t="s">
        <x:v>139</x:v>
      </x:c>
      <x:c r="G46" s="5" t="s">
        <x:v>294</x:v>
      </x:c>
      <x:c r="H46" s="5" t="s">
        <x:v>275</x:v>
      </x:c>
      <x:c r="I46" s="5" t="s">
        <x:v>280</x:v>
      </x:c>
      <x:c r="J46" s="7" t="s">
        <x:v>108</x:v>
      </x:c>
      <x:c r="K46" s="7"/>
      <x:c r="L46" s="8"/>
      <x:c r="M46" s="7"/>
      <x:c r="N46" s="7"/>
      <x:c r="O46" s="8"/>
      <x:c r="P46" s="5" t="str">
        <x:f t="shared" si="1"/>
        <x:v>Pendiente</x:v>
      </x:c>
    </x:row>
    <x:row r="47" ht="25.5">
      <x:c r="A47" s="6" t="s">
        <x:v>297</x:v>
      </x:c>
      <x:c r="B47" s="6" t="s">
        <x:v>53</x:v>
      </x:c>
      <x:c r="C47" s="6" t="s">
        <x:v>243</x:v>
      </x:c>
      <x:c r="D47" s="6" t="s">
        <x:v>298</x:v>
      </x:c>
      <x:c r="E47" s="11" t="s">
        <x:v>138</x:v>
      </x:c>
      <x:c r="F47" s="11" t="s">
        <x:v>139</x:v>
      </x:c>
      <x:c r="G47" s="6" t="s">
        <x:v>299</x:v>
      </x:c>
      <x:c r="H47" s="6" t="s">
        <x:v>246</x:v>
      </x:c>
      <x:c r="I47" s="6" t="s">
        <x:v>247</x:v>
      </x:c>
      <x:c r="J47" s="7" t="s">
        <x:v>108</x:v>
      </x:c>
      <x:c r="K47" s="7"/>
      <x:c r="L47" s="8"/>
      <x:c r="M47" s="7"/>
      <x:c r="N47" s="7"/>
      <x:c r="O47" s="8"/>
      <x:c r="P47" s="6" t="str">
        <x:f t="shared" si="1"/>
        <x:v>Pendiente</x:v>
      </x:c>
    </x:row>
    <x:row r="48" ht="25.5">
      <x:c r="A48" s="5" t="s">
        <x:v>300</x:v>
      </x:c>
      <x:c r="B48" s="5" t="s">
        <x:v>53</x:v>
      </x:c>
      <x:c r="C48" s="5" t="s">
        <x:v>249</x:v>
      </x:c>
      <x:c r="D48" s="5" t="s">
        <x:v>301</x:v>
      </x:c>
      <x:c r="E48" s="10" t="s">
        <x:v>138</x:v>
      </x:c>
      <x:c r="F48" s="10" t="s">
        <x:v>139</x:v>
      </x:c>
      <x:c r="G48" s="5" t="s">
        <x:v>297</x:v>
      </x:c>
      <x:c r="H48" s="5" t="s">
        <x:v>246</x:v>
      </x:c>
      <x:c r="I48" s="5" t="s">
        <x:v>251</x:v>
      </x:c>
      <x:c r="J48" s="7" t="s">
        <x:v>108</x:v>
      </x:c>
      <x:c r="K48" s="7"/>
      <x:c r="L48" s="8"/>
      <x:c r="M48" s="7"/>
      <x:c r="N48" s="7"/>
      <x:c r="O48" s="8"/>
      <x:c r="P48" s="5" t="str">
        <x:f t="shared" si="1"/>
        <x:v>Pendiente</x:v>
      </x:c>
    </x:row>
    <x:row r="49" ht="38.25">
      <x:c r="A49" s="6" t="s">
        <x:v>302</x:v>
      </x:c>
      <x:c r="B49" s="6" t="s">
        <x:v>53</x:v>
      </x:c>
      <x:c r="C49" s="6" t="s">
        <x:v>253</x:v>
      </x:c>
      <x:c r="D49" s="6" t="s">
        <x:v>303</x:v>
      </x:c>
      <x:c r="E49" s="11" t="s">
        <x:v>255</x:v>
      </x:c>
      <x:c r="F49" s="11" t="s">
        <x:v>104</x:v>
      </x:c>
      <x:c r="G49" s="6" t="str">
        <x:v>3.03.02;2.20</x:v>
      </x:c>
      <x:c r="H49" s="6" t="s">
        <x:v>246</x:v>
      </x:c>
      <x:c r="I49" s="6" t="s">
        <x:v>256</x:v>
      </x:c>
      <x:c r="J49" s="7" t="s">
        <x:v>108</x:v>
      </x:c>
      <x:c r="K49" s="7"/>
      <x:c r="L49" s="8"/>
      <x:c r="M49" s="7"/>
      <x:c r="N49" s="7"/>
      <x:c r="O49" s="8"/>
      <x:c r="P49" s="6" t="str">
        <x:f t="shared" si="1"/>
        <x:v>Pendiente</x:v>
      </x:c>
    </x:row>
    <x:row r="50" ht="25.5">
      <x:c r="A50" s="5" t="s">
        <x:v>304</x:v>
      </x:c>
      <x:c r="B50" s="5" t="s">
        <x:v>53</x:v>
      </x:c>
      <x:c r="C50" s="5" t="s">
        <x:v>258</x:v>
      </x:c>
      <x:c r="D50" s="5" t="s">
        <x:v>305</x:v>
      </x:c>
      <x:c r="E50" s="10" t="s">
        <x:v>138</x:v>
      </x:c>
      <x:c r="F50" s="10" t="s">
        <x:v>139</x:v>
      </x:c>
      <x:c r="G50" s="5" t="s">
        <x:v>302</x:v>
      </x:c>
      <x:c r="H50" s="5" t="s">
        <x:v>246</x:v>
      </x:c>
      <x:c r="I50" s="5" t="s">
        <x:v>260</x:v>
      </x:c>
      <x:c r="J50" s="7" t="s">
        <x:v>108</x:v>
      </x:c>
      <x:c r="K50" s="7"/>
      <x:c r="L50" s="8"/>
      <x:c r="M50" s="7"/>
      <x:c r="N50" s="7"/>
      <x:c r="O50" s="8"/>
      <x:c r="P50" s="5" t="str">
        <x:f t="shared" si="1"/>
        <x:v>Pendiente</x:v>
      </x:c>
    </x:row>
    <x:row r="51" ht="38.25">
      <x:c r="A51" s="6" t="s">
        <x:v>306</x:v>
      </x:c>
      <x:c r="B51" s="6" t="s">
        <x:v>53</x:v>
      </x:c>
      <x:c r="C51" s="6" t="s">
        <x:v>262</x:v>
      </x:c>
      <x:c r="D51" s="6" t="s">
        <x:v>307</x:v>
      </x:c>
      <x:c r="E51" s="11" t="s">
        <x:v>138</x:v>
      </x:c>
      <x:c r="F51" s="11" t="s">
        <x:v>139</x:v>
      </x:c>
      <x:c r="G51" s="6" t="s">
        <x:v>304</x:v>
      </x:c>
      <x:c r="H51" s="6" t="s">
        <x:v>246</x:v>
      </x:c>
      <x:c r="I51" s="6" t="s">
        <x:v>265</x:v>
      </x:c>
      <x:c r="J51" s="7" t="s">
        <x:v>108</x:v>
      </x:c>
      <x:c r="K51" s="7"/>
      <x:c r="L51" s="8"/>
      <x:c r="M51" s="7"/>
      <x:c r="N51" s="7"/>
      <x:c r="O51" s="8"/>
      <x:c r="P51" s="6" t="str">
        <x:f t="shared" si="1"/>
        <x:v>Pendiente</x:v>
      </x:c>
    </x:row>
    <x:row r="52" ht="25.5">
      <x:c r="A52" s="5" t="s">
        <x:v>308</x:v>
      </x:c>
      <x:c r="B52" s="5" t="s">
        <x:v>53</x:v>
      </x:c>
      <x:c r="C52" s="5" t="s">
        <x:v>267</x:v>
      </x:c>
      <x:c r="D52" s="5" t="s">
        <x:v>309</x:v>
      </x:c>
      <x:c r="E52" s="10" t="s">
        <x:v>138</x:v>
      </x:c>
      <x:c r="F52" s="10" t="s">
        <x:v>139</x:v>
      </x:c>
      <x:c r="G52" s="5" t="s">
        <x:v>310</x:v>
      </x:c>
      <x:c r="H52" s="5" t="s">
        <x:v>270</x:v>
      </x:c>
      <x:c r="I52" s="5" t="s">
        <x:v>271</x:v>
      </x:c>
      <x:c r="J52" s="7" t="s">
        <x:v>108</x:v>
      </x:c>
      <x:c r="K52" s="7"/>
      <x:c r="L52" s="8"/>
      <x:c r="M52" s="7"/>
      <x:c r="N52" s="7"/>
      <x:c r="O52" s="8"/>
      <x:c r="P52" s="5" t="str">
        <x:f t="shared" si="1"/>
        <x:v>Pendiente</x:v>
      </x:c>
    </x:row>
    <x:row r="53" ht="38.25">
      <x:c r="A53" s="6" t="s">
        <x:v>311</x:v>
      </x:c>
      <x:c r="B53" s="6" t="s">
        <x:v>53</x:v>
      </x:c>
      <x:c r="C53" s="6" t="s">
        <x:v>273</x:v>
      </x:c>
      <x:c r="D53" s="6" t="s">
        <x:v>312</x:v>
      </x:c>
      <x:c r="E53" s="11" t="s">
        <x:v>138</x:v>
      </x:c>
      <x:c r="F53" s="11" t="s">
        <x:v>139</x:v>
      </x:c>
      <x:c r="G53" s="6" t="str">
        <x:v>3.03.06;2.21</x:v>
      </x:c>
      <x:c r="H53" s="6" t="s">
        <x:v>275</x:v>
      </x:c>
      <x:c r="I53" s="6" t="s">
        <x:v>276</x:v>
      </x:c>
      <x:c r="J53" s="7" t="s">
        <x:v>108</x:v>
      </x:c>
      <x:c r="K53" s="7"/>
      <x:c r="L53" s="8"/>
      <x:c r="M53" s="7"/>
      <x:c r="N53" s="7"/>
      <x:c r="O53" s="8"/>
      <x:c r="P53" s="6" t="str">
        <x:f t="shared" si="1"/>
        <x:v>Pendiente</x:v>
      </x:c>
    </x:row>
    <x:row r="54" ht="25.5">
      <x:c r="A54" s="5" t="s">
        <x:v>313</x:v>
      </x:c>
      <x:c r="B54" s="5" t="s">
        <x:v>53</x:v>
      </x:c>
      <x:c r="C54" s="5" t="s">
        <x:v>278</x:v>
      </x:c>
      <x:c r="D54" s="5" t="s">
        <x:v>279</x:v>
      </x:c>
      <x:c r="E54" s="10" t="s">
        <x:v>138</x:v>
      </x:c>
      <x:c r="F54" s="10" t="s">
        <x:v>139</x:v>
      </x:c>
      <x:c r="G54" s="5" t="s">
        <x:v>311</x:v>
      </x:c>
      <x:c r="H54" s="5" t="s">
        <x:v>275</x:v>
      </x:c>
      <x:c r="I54" s="5" t="s">
        <x:v>280</x:v>
      </x:c>
      <x:c r="J54" s="7" t="s">
        <x:v>108</x:v>
      </x:c>
      <x:c r="K54" s="7"/>
      <x:c r="L54" s="8"/>
      <x:c r="M54" s="7"/>
      <x:c r="N54" s="7"/>
      <x:c r="O54" s="8"/>
      <x:c r="P54" s="5" t="str">
        <x:f t="shared" si="1"/>
        <x:v>Pendiente</x:v>
      </x:c>
    </x:row>
    <x:row r="55" ht="38.25">
      <x:c r="A55" s="6" t="s">
        <x:v>314</x:v>
      </x:c>
      <x:c r="B55" s="6" t="s">
        <x:v>57</x:v>
      </x:c>
      <x:c r="C55" s="6" t="s">
        <x:v>243</x:v>
      </x:c>
      <x:c r="D55" s="6" t="s">
        <x:v>315</x:v>
      </x:c>
      <x:c r="E55" s="11" t="s">
        <x:v>138</x:v>
      </x:c>
      <x:c r="F55" s="11" t="s">
        <x:v>139</x:v>
      </x:c>
      <x:c r="G55" s="6" t="s">
        <x:v>316</x:v>
      </x:c>
      <x:c r="H55" s="6" t="s">
        <x:v>246</x:v>
      </x:c>
      <x:c r="I55" s="6" t="s">
        <x:v>247</x:v>
      </x:c>
      <x:c r="J55" s="7" t="s">
        <x:v>108</x:v>
      </x:c>
      <x:c r="K55" s="7"/>
      <x:c r="L55" s="8"/>
      <x:c r="M55" s="7"/>
      <x:c r="N55" s="7"/>
      <x:c r="O55" s="8"/>
      <x:c r="P55" s="6" t="str">
        <x:f t="shared" si="1"/>
        <x:v>Pendiente</x:v>
      </x:c>
    </x:row>
    <x:row r="56" ht="25.5">
      <x:c r="A56" s="5" t="s">
        <x:v>317</x:v>
      </x:c>
      <x:c r="B56" s="5" t="s">
        <x:v>57</x:v>
      </x:c>
      <x:c r="C56" s="5" t="s">
        <x:v>249</x:v>
      </x:c>
      <x:c r="D56" s="5" t="s">
        <x:v>318</x:v>
      </x:c>
      <x:c r="E56" s="10" t="s">
        <x:v>138</x:v>
      </x:c>
      <x:c r="F56" s="10" t="s">
        <x:v>139</x:v>
      </x:c>
      <x:c r="G56" s="5" t="s">
        <x:v>314</x:v>
      </x:c>
      <x:c r="H56" s="5" t="s">
        <x:v>246</x:v>
      </x:c>
      <x:c r="I56" s="5" t="s">
        <x:v>251</x:v>
      </x:c>
      <x:c r="J56" s="7" t="s">
        <x:v>108</x:v>
      </x:c>
      <x:c r="K56" s="7"/>
      <x:c r="L56" s="8"/>
      <x:c r="M56" s="7"/>
      <x:c r="N56" s="7"/>
      <x:c r="O56" s="8"/>
      <x:c r="P56" s="5" t="str">
        <x:f t="shared" si="1"/>
        <x:v>Pendiente</x:v>
      </x:c>
    </x:row>
    <x:row r="57" ht="38.25">
      <x:c r="A57" s="6" t="s">
        <x:v>319</x:v>
      </x:c>
      <x:c r="B57" s="6" t="s">
        <x:v>57</x:v>
      </x:c>
      <x:c r="C57" s="6" t="s">
        <x:v>253</x:v>
      </x:c>
      <x:c r="D57" s="6" t="s">
        <x:v>320</x:v>
      </x:c>
      <x:c r="E57" s="11" t="s">
        <x:v>255</x:v>
      </x:c>
      <x:c r="F57" s="11" t="s">
        <x:v>104</x:v>
      </x:c>
      <x:c r="G57" s="6" t="str">
        <x:v>3.04.02;2.20</x:v>
      </x:c>
      <x:c r="H57" s="6" t="s">
        <x:v>246</x:v>
      </x:c>
      <x:c r="I57" s="6" t="s">
        <x:v>256</x:v>
      </x:c>
      <x:c r="J57" s="7" t="s">
        <x:v>108</x:v>
      </x:c>
      <x:c r="K57" s="7"/>
      <x:c r="L57" s="8"/>
      <x:c r="M57" s="7"/>
      <x:c r="N57" s="7"/>
      <x:c r="O57" s="8"/>
      <x:c r="P57" s="6" t="str">
        <x:f t="shared" si="1"/>
        <x:v>Pendiente</x:v>
      </x:c>
    </x:row>
    <x:row r="58" ht="25.5">
      <x:c r="A58" s="5" t="s">
        <x:v>321</x:v>
      </x:c>
      <x:c r="B58" s="5" t="s">
        <x:v>57</x:v>
      </x:c>
      <x:c r="C58" s="5" t="s">
        <x:v>258</x:v>
      </x:c>
      <x:c r="D58" s="5" t="s">
        <x:v>322</x:v>
      </x:c>
      <x:c r="E58" s="10" t="s">
        <x:v>138</x:v>
      </x:c>
      <x:c r="F58" s="10" t="s">
        <x:v>139</x:v>
      </x:c>
      <x:c r="G58" s="5" t="s">
        <x:v>319</x:v>
      </x:c>
      <x:c r="H58" s="5" t="s">
        <x:v>246</x:v>
      </x:c>
      <x:c r="I58" s="5" t="s">
        <x:v>260</x:v>
      </x:c>
      <x:c r="J58" s="7" t="s">
        <x:v>108</x:v>
      </x:c>
      <x:c r="K58" s="7"/>
      <x:c r="L58" s="8"/>
      <x:c r="M58" s="7"/>
      <x:c r="N58" s="7"/>
      <x:c r="O58" s="8"/>
      <x:c r="P58" s="5" t="str">
        <x:f t="shared" si="1"/>
        <x:v>Pendiente</x:v>
      </x:c>
    </x:row>
    <x:row r="59" ht="38.25">
      <x:c r="A59" s="6" t="s">
        <x:v>323</x:v>
      </x:c>
      <x:c r="B59" s="6" t="s">
        <x:v>57</x:v>
      </x:c>
      <x:c r="C59" s="6" t="s">
        <x:v>262</x:v>
      </x:c>
      <x:c r="D59" s="6" t="s">
        <x:v>324</x:v>
      </x:c>
      <x:c r="E59" s="11" t="s">
        <x:v>138</x:v>
      </x:c>
      <x:c r="F59" s="11" t="s">
        <x:v>139</x:v>
      </x:c>
      <x:c r="G59" s="6" t="s">
        <x:v>321</x:v>
      </x:c>
      <x:c r="H59" s="6" t="s">
        <x:v>246</x:v>
      </x:c>
      <x:c r="I59" s="6" t="s">
        <x:v>265</x:v>
      </x:c>
      <x:c r="J59" s="7" t="s">
        <x:v>108</x:v>
      </x:c>
      <x:c r="K59" s="7"/>
      <x:c r="L59" s="8"/>
      <x:c r="M59" s="7"/>
      <x:c r="N59" s="7"/>
      <x:c r="O59" s="8"/>
      <x:c r="P59" s="6" t="str">
        <x:f t="shared" si="1"/>
        <x:v>Pendiente</x:v>
      </x:c>
    </x:row>
    <x:row r="60" ht="25.5">
      <x:c r="A60" s="5" t="s">
        <x:v>325</x:v>
      </x:c>
      <x:c r="B60" s="5" t="s">
        <x:v>57</x:v>
      </x:c>
      <x:c r="C60" s="5" t="s">
        <x:v>267</x:v>
      </x:c>
      <x:c r="D60" s="5" t="s">
        <x:v>326</x:v>
      </x:c>
      <x:c r="E60" s="10" t="s">
        <x:v>138</x:v>
      </x:c>
      <x:c r="F60" s="10" t="s">
        <x:v>139</x:v>
      </x:c>
      <x:c r="G60" s="5" t="s">
        <x:v>327</x:v>
      </x:c>
      <x:c r="H60" s="5" t="s">
        <x:v>270</x:v>
      </x:c>
      <x:c r="I60" s="5" t="s">
        <x:v>271</x:v>
      </x:c>
      <x:c r="J60" s="7" t="s">
        <x:v>108</x:v>
      </x:c>
      <x:c r="K60" s="7"/>
      <x:c r="L60" s="8"/>
      <x:c r="M60" s="7"/>
      <x:c r="N60" s="7"/>
      <x:c r="O60" s="8"/>
      <x:c r="P60" s="5" t="str">
        <x:f t="shared" si="1"/>
        <x:v>Pendiente</x:v>
      </x:c>
    </x:row>
    <x:row r="61" ht="38.25">
      <x:c r="A61" s="6" t="s">
        <x:v>328</x:v>
      </x:c>
      <x:c r="B61" s="6" t="s">
        <x:v>57</x:v>
      </x:c>
      <x:c r="C61" s="6" t="s">
        <x:v>273</x:v>
      </x:c>
      <x:c r="D61" s="6" t="s">
        <x:v>329</x:v>
      </x:c>
      <x:c r="E61" s="11" t="s">
        <x:v>138</x:v>
      </x:c>
      <x:c r="F61" s="11" t="s">
        <x:v>139</x:v>
      </x:c>
      <x:c r="G61" s="6" t="str">
        <x:v>3.04.06;2.21</x:v>
      </x:c>
      <x:c r="H61" s="6" t="s">
        <x:v>275</x:v>
      </x:c>
      <x:c r="I61" s="6" t="s">
        <x:v>276</x:v>
      </x:c>
      <x:c r="J61" s="7" t="s">
        <x:v>108</x:v>
      </x:c>
      <x:c r="K61" s="7"/>
      <x:c r="L61" s="8"/>
      <x:c r="M61" s="7"/>
      <x:c r="N61" s="7"/>
      <x:c r="O61" s="8"/>
      <x:c r="P61" s="6" t="str">
        <x:f t="shared" si="1"/>
        <x:v>Pendiente</x:v>
      </x:c>
    </x:row>
    <x:row r="62" ht="25.5">
      <x:c r="A62" s="5" t="s">
        <x:v>330</x:v>
      </x:c>
      <x:c r="B62" s="5" t="s">
        <x:v>57</x:v>
      </x:c>
      <x:c r="C62" s="5" t="s">
        <x:v>278</x:v>
      </x:c>
      <x:c r="D62" s="5" t="s">
        <x:v>279</x:v>
      </x:c>
      <x:c r="E62" s="10" t="s">
        <x:v>138</x:v>
      </x:c>
      <x:c r="F62" s="10" t="s">
        <x:v>139</x:v>
      </x:c>
      <x:c r="G62" s="5" t="s">
        <x:v>328</x:v>
      </x:c>
      <x:c r="H62" s="5" t="s">
        <x:v>275</x:v>
      </x:c>
      <x:c r="I62" s="5" t="s">
        <x:v>280</x:v>
      </x:c>
      <x:c r="J62" s="7" t="s">
        <x:v>108</x:v>
      </x:c>
      <x:c r="K62" s="7"/>
      <x:c r="L62" s="8"/>
      <x:c r="M62" s="7"/>
      <x:c r="N62" s="7"/>
      <x:c r="O62" s="8"/>
      <x:c r="P62" s="5" t="str">
        <x:f t="shared" si="1"/>
        <x:v>Pendiente</x:v>
      </x:c>
    </x:row>
    <x:row r="63" ht="25.5">
      <x:c r="A63" s="6" t="s">
        <x:v>331</x:v>
      </x:c>
      <x:c r="B63" s="6" t="s">
        <x:v>61</x:v>
      </x:c>
      <x:c r="C63" s="6" t="s">
        <x:v>243</x:v>
      </x:c>
      <x:c r="D63" s="6" t="s">
        <x:v>332</x:v>
      </x:c>
      <x:c r="E63" s="11" t="s">
        <x:v>138</x:v>
      </x:c>
      <x:c r="F63" s="11" t="s">
        <x:v>139</x:v>
      </x:c>
      <x:c r="G63" s="6" t="s">
        <x:v>333</x:v>
      </x:c>
      <x:c r="H63" s="6" t="s">
        <x:v>246</x:v>
      </x:c>
      <x:c r="I63" s="6" t="s">
        <x:v>247</x:v>
      </x:c>
      <x:c r="J63" s="7" t="s">
        <x:v>108</x:v>
      </x:c>
      <x:c r="K63" s="7"/>
      <x:c r="L63" s="8"/>
      <x:c r="M63" s="7"/>
      <x:c r="N63" s="7"/>
      <x:c r="O63" s="8"/>
      <x:c r="P63" s="6" t="str">
        <x:f t="shared" si="1"/>
        <x:v>Pendiente</x:v>
      </x:c>
    </x:row>
    <x:row r="64" ht="25.5">
      <x:c r="A64" s="5" t="s">
        <x:v>334</x:v>
      </x:c>
      <x:c r="B64" s="5" t="s">
        <x:v>61</x:v>
      </x:c>
      <x:c r="C64" s="5" t="s">
        <x:v>249</x:v>
      </x:c>
      <x:c r="D64" s="5" t="s">
        <x:v>335</x:v>
      </x:c>
      <x:c r="E64" s="10" t="s">
        <x:v>138</x:v>
      </x:c>
      <x:c r="F64" s="10" t="s">
        <x:v>139</x:v>
      </x:c>
      <x:c r="G64" s="5" t="s">
        <x:v>331</x:v>
      </x:c>
      <x:c r="H64" s="5" t="s">
        <x:v>246</x:v>
      </x:c>
      <x:c r="I64" s="5" t="s">
        <x:v>251</x:v>
      </x:c>
      <x:c r="J64" s="7" t="s">
        <x:v>108</x:v>
      </x:c>
      <x:c r="K64" s="7"/>
      <x:c r="L64" s="8"/>
      <x:c r="M64" s="7"/>
      <x:c r="N64" s="7"/>
      <x:c r="O64" s="8"/>
      <x:c r="P64" s="5" t="str">
        <x:f t="shared" si="1"/>
        <x:v>Pendiente</x:v>
      </x:c>
    </x:row>
    <x:row r="65" ht="38.25">
      <x:c r="A65" s="6" t="s">
        <x:v>336</x:v>
      </x:c>
      <x:c r="B65" s="6" t="s">
        <x:v>61</x:v>
      </x:c>
      <x:c r="C65" s="6" t="s">
        <x:v>253</x:v>
      </x:c>
      <x:c r="D65" s="6" t="s">
        <x:v>337</x:v>
      </x:c>
      <x:c r="E65" s="11" t="s">
        <x:v>255</x:v>
      </x:c>
      <x:c r="F65" s="11" t="s">
        <x:v>104</x:v>
      </x:c>
      <x:c r="G65" s="6" t="str">
        <x:v>3.05.02;2.20</x:v>
      </x:c>
      <x:c r="H65" s="6" t="s">
        <x:v>246</x:v>
      </x:c>
      <x:c r="I65" s="6" t="s">
        <x:v>256</x:v>
      </x:c>
      <x:c r="J65" s="7" t="s">
        <x:v>108</x:v>
      </x:c>
      <x:c r="K65" s="7"/>
      <x:c r="L65" s="8"/>
      <x:c r="M65" s="7"/>
      <x:c r="N65" s="7"/>
      <x:c r="O65" s="8"/>
      <x:c r="P65" s="6" t="str">
        <x:f t="shared" si="1"/>
        <x:v>Pendiente</x:v>
      </x:c>
    </x:row>
    <x:row r="66" ht="25.5">
      <x:c r="A66" s="5" t="s">
        <x:v>338</x:v>
      </x:c>
      <x:c r="B66" s="5" t="s">
        <x:v>61</x:v>
      </x:c>
      <x:c r="C66" s="5" t="s">
        <x:v>258</x:v>
      </x:c>
      <x:c r="D66" s="5" t="s">
        <x:v>339</x:v>
      </x:c>
      <x:c r="E66" s="10" t="s">
        <x:v>138</x:v>
      </x:c>
      <x:c r="F66" s="10" t="s">
        <x:v>139</x:v>
      </x:c>
      <x:c r="G66" s="5" t="s">
        <x:v>336</x:v>
      </x:c>
      <x:c r="H66" s="5" t="s">
        <x:v>246</x:v>
      </x:c>
      <x:c r="I66" s="5" t="s">
        <x:v>260</x:v>
      </x:c>
      <x:c r="J66" s="7" t="s">
        <x:v>108</x:v>
      </x:c>
      <x:c r="K66" s="7"/>
      <x:c r="L66" s="8"/>
      <x:c r="M66" s="7"/>
      <x:c r="N66" s="7"/>
      <x:c r="O66" s="8"/>
      <x:c r="P66" s="5" t="str">
        <x:f t="shared" si="1"/>
        <x:v>Pendiente</x:v>
      </x:c>
    </x:row>
    <x:row r="67" ht="51">
      <x:c r="A67" s="6" t="s">
        <x:v>340</x:v>
      </x:c>
      <x:c r="B67" s="6" t="s">
        <x:v>61</x:v>
      </x:c>
      <x:c r="C67" s="6" t="s">
        <x:v>262</x:v>
      </x:c>
      <x:c r="D67" s="6" t="s">
        <x:v>341</x:v>
      </x:c>
      <x:c r="E67" s="11" t="s">
        <x:v>138</x:v>
      </x:c>
      <x:c r="F67" s="11" t="s">
        <x:v>139</x:v>
      </x:c>
      <x:c r="G67" s="6" t="s">
        <x:v>338</x:v>
      </x:c>
      <x:c r="H67" s="6" t="s">
        <x:v>246</x:v>
      </x:c>
      <x:c r="I67" s="6" t="s">
        <x:v>265</x:v>
      </x:c>
      <x:c r="J67" s="7" t="s">
        <x:v>108</x:v>
      </x:c>
      <x:c r="K67" s="7"/>
      <x:c r="L67" s="8"/>
      <x:c r="M67" s="7"/>
      <x:c r="N67" s="7"/>
      <x:c r="O67" s="8"/>
      <x:c r="P67" s="6" t="str">
        <x:f t="shared" si="1"/>
        <x:v>Pendiente</x:v>
      </x:c>
    </x:row>
    <x:row r="68" ht="25.5">
      <x:c r="A68" s="5" t="s">
        <x:v>342</x:v>
      </x:c>
      <x:c r="B68" s="5" t="s">
        <x:v>61</x:v>
      </x:c>
      <x:c r="C68" s="5" t="s">
        <x:v>267</x:v>
      </x:c>
      <x:c r="D68" s="5" t="s">
        <x:v>343</x:v>
      </x:c>
      <x:c r="E68" s="10" t="s">
        <x:v>138</x:v>
      </x:c>
      <x:c r="F68" s="10" t="s">
        <x:v>139</x:v>
      </x:c>
      <x:c r="G68" s="5" t="s">
        <x:v>344</x:v>
      </x:c>
      <x:c r="H68" s="5" t="s">
        <x:v>270</x:v>
      </x:c>
      <x:c r="I68" s="5" t="s">
        <x:v>271</x:v>
      </x:c>
      <x:c r="J68" s="7" t="s">
        <x:v>108</x:v>
      </x:c>
      <x:c r="K68" s="7"/>
      <x:c r="L68" s="8"/>
      <x:c r="M68" s="7"/>
      <x:c r="N68" s="7"/>
      <x:c r="O68" s="8"/>
      <x:c r="P68" s="5" t="str">
        <x:f t="shared" si="1"/>
        <x:v>Pendiente</x:v>
      </x:c>
    </x:row>
    <x:row r="69" ht="38.25">
      <x:c r="A69" s="6" t="s">
        <x:v>345</x:v>
      </x:c>
      <x:c r="B69" s="6" t="s">
        <x:v>61</x:v>
      </x:c>
      <x:c r="C69" s="6" t="s">
        <x:v>273</x:v>
      </x:c>
      <x:c r="D69" s="6" t="s">
        <x:v>346</x:v>
      </x:c>
      <x:c r="E69" s="11" t="s">
        <x:v>138</x:v>
      </x:c>
      <x:c r="F69" s="11" t="s">
        <x:v>139</x:v>
      </x:c>
      <x:c r="G69" s="6" t="str">
        <x:v>3.05.06;2.21</x:v>
      </x:c>
      <x:c r="H69" s="6" t="s">
        <x:v>275</x:v>
      </x:c>
      <x:c r="I69" s="6" t="s">
        <x:v>276</x:v>
      </x:c>
      <x:c r="J69" s="7" t="s">
        <x:v>108</x:v>
      </x:c>
      <x:c r="K69" s="7"/>
      <x:c r="L69" s="8"/>
      <x:c r="M69" s="7"/>
      <x:c r="N69" s="7"/>
      <x:c r="O69" s="8"/>
      <x:c r="P69" s="6" t="str">
        <x:f t="shared" si="1"/>
        <x:v>Pendiente</x:v>
      </x:c>
    </x:row>
    <x:row r="70" ht="25.5">
      <x:c r="A70" s="5" t="s">
        <x:v>347</x:v>
      </x:c>
      <x:c r="B70" s="5" t="s">
        <x:v>61</x:v>
      </x:c>
      <x:c r="C70" s="5" t="s">
        <x:v>278</x:v>
      </x:c>
      <x:c r="D70" s="5" t="s">
        <x:v>279</x:v>
      </x:c>
      <x:c r="E70" s="10" t="s">
        <x:v>138</x:v>
      </x:c>
      <x:c r="F70" s="10" t="s">
        <x:v>139</x:v>
      </x:c>
      <x:c r="G70" s="5" t="s">
        <x:v>345</x:v>
      </x:c>
      <x:c r="H70" s="5" t="s">
        <x:v>275</x:v>
      </x:c>
      <x:c r="I70" s="5" t="s">
        <x:v>280</x:v>
      </x:c>
      <x:c r="J70" s="7" t="s">
        <x:v>108</x:v>
      </x:c>
      <x:c r="K70" s="7"/>
      <x:c r="L70" s="8"/>
      <x:c r="M70" s="7"/>
      <x:c r="N70" s="7"/>
      <x:c r="O70" s="8"/>
      <x:c r="P70" s="5" t="str">
        <x:f t="shared" ref="P70:P101" si="2">IF(J70="Cerrado",IF(AND(K70&lt;&gt;"",M70&lt;&gt;"",N70&lt;&gt;"",ISNUMBER(O70)),"Cierre documentado","Falta evidencia o aceptación"),"Pendiente")</x:f>
        <x:v>Pendiente</x:v>
      </x:c>
    </x:row>
    <x:row r="71" ht="25.5">
      <x:c r="A71" s="6" t="s">
        <x:v>348</x:v>
      </x:c>
      <x:c r="B71" s="6" t="s">
        <x:v>63</x:v>
      </x:c>
      <x:c r="C71" s="6" t="s">
        <x:v>243</x:v>
      </x:c>
      <x:c r="D71" s="6" t="s">
        <x:v>349</x:v>
      </x:c>
      <x:c r="E71" s="11" t="s">
        <x:v>138</x:v>
      </x:c>
      <x:c r="F71" s="11" t="s">
        <x:v>139</x:v>
      </x:c>
      <x:c r="G71" s="6" t="s">
        <x:v>350</x:v>
      </x:c>
      <x:c r="H71" s="6" t="s">
        <x:v>246</x:v>
      </x:c>
      <x:c r="I71" s="6" t="s">
        <x:v>247</x:v>
      </x:c>
      <x:c r="J71" s="7" t="s">
        <x:v>108</x:v>
      </x:c>
      <x:c r="K71" s="7"/>
      <x:c r="L71" s="8"/>
      <x:c r="M71" s="7"/>
      <x:c r="N71" s="7"/>
      <x:c r="O71" s="8"/>
      <x:c r="P71" s="6" t="str">
        <x:f t="shared" si="2"/>
        <x:v>Pendiente</x:v>
      </x:c>
    </x:row>
    <x:row r="72" ht="25.5">
      <x:c r="A72" s="5" t="s">
        <x:v>351</x:v>
      </x:c>
      <x:c r="B72" s="5" t="s">
        <x:v>63</x:v>
      </x:c>
      <x:c r="C72" s="5" t="s">
        <x:v>249</x:v>
      </x:c>
      <x:c r="D72" s="5" t="s">
        <x:v>352</x:v>
      </x:c>
      <x:c r="E72" s="10" t="s">
        <x:v>138</x:v>
      </x:c>
      <x:c r="F72" s="10" t="s">
        <x:v>139</x:v>
      </x:c>
      <x:c r="G72" s="5" t="s">
        <x:v>348</x:v>
      </x:c>
      <x:c r="H72" s="5" t="s">
        <x:v>246</x:v>
      </x:c>
      <x:c r="I72" s="5" t="s">
        <x:v>251</x:v>
      </x:c>
      <x:c r="J72" s="7" t="s">
        <x:v>108</x:v>
      </x:c>
      <x:c r="K72" s="7"/>
      <x:c r="L72" s="8"/>
      <x:c r="M72" s="7"/>
      <x:c r="N72" s="7"/>
      <x:c r="O72" s="8"/>
      <x:c r="P72" s="5" t="str">
        <x:f t="shared" si="2"/>
        <x:v>Pendiente</x:v>
      </x:c>
    </x:row>
    <x:row r="73" ht="38.25">
      <x:c r="A73" s="6" t="s">
        <x:v>353</x:v>
      </x:c>
      <x:c r="B73" s="6" t="s">
        <x:v>63</x:v>
      </x:c>
      <x:c r="C73" s="6" t="s">
        <x:v>253</x:v>
      </x:c>
      <x:c r="D73" s="6" t="s">
        <x:v>354</x:v>
      </x:c>
      <x:c r="E73" s="11" t="s">
        <x:v>255</x:v>
      </x:c>
      <x:c r="F73" s="11" t="s">
        <x:v>104</x:v>
      </x:c>
      <x:c r="G73" s="6" t="str">
        <x:v>3.06.02;2.20</x:v>
      </x:c>
      <x:c r="H73" s="6" t="s">
        <x:v>246</x:v>
      </x:c>
      <x:c r="I73" s="6" t="s">
        <x:v>256</x:v>
      </x:c>
      <x:c r="J73" s="7" t="s">
        <x:v>108</x:v>
      </x:c>
      <x:c r="K73" s="7"/>
      <x:c r="L73" s="8"/>
      <x:c r="M73" s="7"/>
      <x:c r="N73" s="7"/>
      <x:c r="O73" s="8"/>
      <x:c r="P73" s="6" t="str">
        <x:f t="shared" si="2"/>
        <x:v>Pendiente</x:v>
      </x:c>
    </x:row>
    <x:row r="74" ht="25.5">
      <x:c r="A74" s="5" t="s">
        <x:v>355</x:v>
      </x:c>
      <x:c r="B74" s="5" t="s">
        <x:v>63</x:v>
      </x:c>
      <x:c r="C74" s="5" t="s">
        <x:v>258</x:v>
      </x:c>
      <x:c r="D74" s="5" t="s">
        <x:v>356</x:v>
      </x:c>
      <x:c r="E74" s="10" t="s">
        <x:v>138</x:v>
      </x:c>
      <x:c r="F74" s="10" t="s">
        <x:v>139</x:v>
      </x:c>
      <x:c r="G74" s="5" t="s">
        <x:v>353</x:v>
      </x:c>
      <x:c r="H74" s="5" t="s">
        <x:v>246</x:v>
      </x:c>
      <x:c r="I74" s="5" t="s">
        <x:v>260</x:v>
      </x:c>
      <x:c r="J74" s="7" t="s">
        <x:v>108</x:v>
      </x:c>
      <x:c r="K74" s="7"/>
      <x:c r="L74" s="8"/>
      <x:c r="M74" s="7"/>
      <x:c r="N74" s="7"/>
      <x:c r="O74" s="8"/>
      <x:c r="P74" s="5" t="str">
        <x:f t="shared" si="2"/>
        <x:v>Pendiente</x:v>
      </x:c>
    </x:row>
    <x:row r="75" ht="38.25">
      <x:c r="A75" s="6" t="s">
        <x:v>357</x:v>
      </x:c>
      <x:c r="B75" s="6" t="s">
        <x:v>63</x:v>
      </x:c>
      <x:c r="C75" s="6" t="s">
        <x:v>262</x:v>
      </x:c>
      <x:c r="D75" s="6" t="s">
        <x:v>358</x:v>
      </x:c>
      <x:c r="E75" s="11" t="s">
        <x:v>138</x:v>
      </x:c>
      <x:c r="F75" s="11" t="s">
        <x:v>139</x:v>
      </x:c>
      <x:c r="G75" s="6" t="s">
        <x:v>355</x:v>
      </x:c>
      <x:c r="H75" s="6" t="s">
        <x:v>246</x:v>
      </x:c>
      <x:c r="I75" s="6" t="s">
        <x:v>265</x:v>
      </x:c>
      <x:c r="J75" s="7" t="s">
        <x:v>108</x:v>
      </x:c>
      <x:c r="K75" s="7"/>
      <x:c r="L75" s="8"/>
      <x:c r="M75" s="7"/>
      <x:c r="N75" s="7"/>
      <x:c r="O75" s="8"/>
      <x:c r="P75" s="6" t="str">
        <x:f t="shared" si="2"/>
        <x:v>Pendiente</x:v>
      </x:c>
    </x:row>
    <x:row r="76" ht="25.5">
      <x:c r="A76" s="5" t="s">
        <x:v>359</x:v>
      </x:c>
      <x:c r="B76" s="5" t="s">
        <x:v>63</x:v>
      </x:c>
      <x:c r="C76" s="5" t="s">
        <x:v>267</x:v>
      </x:c>
      <x:c r="D76" s="5" t="s">
        <x:v>360</x:v>
      </x:c>
      <x:c r="E76" s="10" t="s">
        <x:v>138</x:v>
      </x:c>
      <x:c r="F76" s="10" t="s">
        <x:v>139</x:v>
      </x:c>
      <x:c r="G76" s="5" t="s">
        <x:v>361</x:v>
      </x:c>
      <x:c r="H76" s="5" t="s">
        <x:v>270</x:v>
      </x:c>
      <x:c r="I76" s="5" t="s">
        <x:v>271</x:v>
      </x:c>
      <x:c r="J76" s="7" t="s">
        <x:v>108</x:v>
      </x:c>
      <x:c r="K76" s="7"/>
      <x:c r="L76" s="8"/>
      <x:c r="M76" s="7"/>
      <x:c r="N76" s="7"/>
      <x:c r="O76" s="8"/>
      <x:c r="P76" s="5" t="str">
        <x:f t="shared" si="2"/>
        <x:v>Pendiente</x:v>
      </x:c>
    </x:row>
    <x:row r="77" ht="38.25">
      <x:c r="A77" s="6" t="s">
        <x:v>362</x:v>
      </x:c>
      <x:c r="B77" s="6" t="s">
        <x:v>63</x:v>
      </x:c>
      <x:c r="C77" s="6" t="s">
        <x:v>273</x:v>
      </x:c>
      <x:c r="D77" s="6" t="s">
        <x:v>363</x:v>
      </x:c>
      <x:c r="E77" s="11" t="s">
        <x:v>138</x:v>
      </x:c>
      <x:c r="F77" s="11" t="s">
        <x:v>139</x:v>
      </x:c>
      <x:c r="G77" s="6" t="str">
        <x:v>3.06.06;2.21</x:v>
      </x:c>
      <x:c r="H77" s="6" t="s">
        <x:v>275</x:v>
      </x:c>
      <x:c r="I77" s="6" t="s">
        <x:v>276</x:v>
      </x:c>
      <x:c r="J77" s="7" t="s">
        <x:v>108</x:v>
      </x:c>
      <x:c r="K77" s="7"/>
      <x:c r="L77" s="8"/>
      <x:c r="M77" s="7"/>
      <x:c r="N77" s="7"/>
      <x:c r="O77" s="8"/>
      <x:c r="P77" s="6" t="str">
        <x:f t="shared" si="2"/>
        <x:v>Pendiente</x:v>
      </x:c>
    </x:row>
    <x:row r="78" ht="25.5">
      <x:c r="A78" s="5" t="s">
        <x:v>364</x:v>
      </x:c>
      <x:c r="B78" s="5" t="s">
        <x:v>63</x:v>
      </x:c>
      <x:c r="C78" s="5" t="s">
        <x:v>278</x:v>
      </x:c>
      <x:c r="D78" s="5" t="s">
        <x:v>279</x:v>
      </x:c>
      <x:c r="E78" s="10" t="s">
        <x:v>138</x:v>
      </x:c>
      <x:c r="F78" s="10" t="s">
        <x:v>139</x:v>
      </x:c>
      <x:c r="G78" s="5" t="s">
        <x:v>362</x:v>
      </x:c>
      <x:c r="H78" s="5" t="s">
        <x:v>275</x:v>
      </x:c>
      <x:c r="I78" s="5" t="s">
        <x:v>280</x:v>
      </x:c>
      <x:c r="J78" s="7" t="s">
        <x:v>108</x:v>
      </x:c>
      <x:c r="K78" s="7"/>
      <x:c r="L78" s="8"/>
      <x:c r="M78" s="7"/>
      <x:c r="N78" s="7"/>
      <x:c r="O78" s="8"/>
      <x:c r="P78" s="5" t="str">
        <x:f t="shared" si="2"/>
        <x:v>Pendiente</x:v>
      </x:c>
    </x:row>
    <x:row r="79" ht="25.5">
      <x:c r="A79" s="6" t="s">
        <x:v>365</x:v>
      </x:c>
      <x:c r="B79" s="6" t="s">
        <x:v>67</x:v>
      </x:c>
      <x:c r="C79" s="6" t="s">
        <x:v>243</x:v>
      </x:c>
      <x:c r="D79" s="6" t="s">
        <x:v>366</x:v>
      </x:c>
      <x:c r="E79" s="11" t="s">
        <x:v>138</x:v>
      </x:c>
      <x:c r="F79" s="11" t="s">
        <x:v>139</x:v>
      </x:c>
      <x:c r="G79" s="6" t="s">
        <x:v>367</x:v>
      </x:c>
      <x:c r="H79" s="6" t="s">
        <x:v>246</x:v>
      </x:c>
      <x:c r="I79" s="6" t="s">
        <x:v>247</x:v>
      </x:c>
      <x:c r="J79" s="7" t="s">
        <x:v>108</x:v>
      </x:c>
      <x:c r="K79" s="7"/>
      <x:c r="L79" s="8"/>
      <x:c r="M79" s="7"/>
      <x:c r="N79" s="7"/>
      <x:c r="O79" s="8"/>
      <x:c r="P79" s="6" t="str">
        <x:f t="shared" si="2"/>
        <x:v>Pendiente</x:v>
      </x:c>
    </x:row>
    <x:row r="80" ht="25.5">
      <x:c r="A80" s="5" t="s">
        <x:v>368</x:v>
      </x:c>
      <x:c r="B80" s="5" t="s">
        <x:v>67</x:v>
      </x:c>
      <x:c r="C80" s="5" t="s">
        <x:v>249</x:v>
      </x:c>
      <x:c r="D80" s="5" t="s">
        <x:v>369</x:v>
      </x:c>
      <x:c r="E80" s="10" t="s">
        <x:v>138</x:v>
      </x:c>
      <x:c r="F80" s="10" t="s">
        <x:v>139</x:v>
      </x:c>
      <x:c r="G80" s="5" t="s">
        <x:v>365</x:v>
      </x:c>
      <x:c r="H80" s="5" t="s">
        <x:v>246</x:v>
      </x:c>
      <x:c r="I80" s="5" t="s">
        <x:v>251</x:v>
      </x:c>
      <x:c r="J80" s="7" t="s">
        <x:v>108</x:v>
      </x:c>
      <x:c r="K80" s="7"/>
      <x:c r="L80" s="8"/>
      <x:c r="M80" s="7"/>
      <x:c r="N80" s="7"/>
      <x:c r="O80" s="8"/>
      <x:c r="P80" s="5" t="str">
        <x:f t="shared" si="2"/>
        <x:v>Pendiente</x:v>
      </x:c>
    </x:row>
    <x:row r="81" ht="25.5">
      <x:c r="A81" s="6" t="s">
        <x:v>370</x:v>
      </x:c>
      <x:c r="B81" s="6" t="s">
        <x:v>67</x:v>
      </x:c>
      <x:c r="C81" s="6" t="s">
        <x:v>253</x:v>
      </x:c>
      <x:c r="D81" s="6" t="s">
        <x:v>371</x:v>
      </x:c>
      <x:c r="E81" s="11" t="s">
        <x:v>255</x:v>
      </x:c>
      <x:c r="F81" s="11" t="s">
        <x:v>104</x:v>
      </x:c>
      <x:c r="G81" s="6" t="str">
        <x:v>3.07.02;2.20</x:v>
      </x:c>
      <x:c r="H81" s="6" t="s">
        <x:v>246</x:v>
      </x:c>
      <x:c r="I81" s="6" t="s">
        <x:v>256</x:v>
      </x:c>
      <x:c r="J81" s="7" t="s">
        <x:v>108</x:v>
      </x:c>
      <x:c r="K81" s="7"/>
      <x:c r="L81" s="8"/>
      <x:c r="M81" s="7"/>
      <x:c r="N81" s="7"/>
      <x:c r="O81" s="8"/>
      <x:c r="P81" s="6" t="str">
        <x:f t="shared" si="2"/>
        <x:v>Pendiente</x:v>
      </x:c>
    </x:row>
    <x:row r="82" ht="25.5">
      <x:c r="A82" s="5" t="s">
        <x:v>372</x:v>
      </x:c>
      <x:c r="B82" s="5" t="s">
        <x:v>67</x:v>
      </x:c>
      <x:c r="C82" s="5" t="s">
        <x:v>258</x:v>
      </x:c>
      <x:c r="D82" s="5" t="s">
        <x:v>373</x:v>
      </x:c>
      <x:c r="E82" s="10" t="s">
        <x:v>138</x:v>
      </x:c>
      <x:c r="F82" s="10" t="s">
        <x:v>139</x:v>
      </x:c>
      <x:c r="G82" s="5" t="s">
        <x:v>370</x:v>
      </x:c>
      <x:c r="H82" s="5" t="s">
        <x:v>246</x:v>
      </x:c>
      <x:c r="I82" s="5" t="s">
        <x:v>260</x:v>
      </x:c>
      <x:c r="J82" s="7" t="s">
        <x:v>108</x:v>
      </x:c>
      <x:c r="K82" s="7"/>
      <x:c r="L82" s="8"/>
      <x:c r="M82" s="7"/>
      <x:c r="N82" s="7"/>
      <x:c r="O82" s="8"/>
      <x:c r="P82" s="5" t="str">
        <x:f t="shared" si="2"/>
        <x:v>Pendiente</x:v>
      </x:c>
    </x:row>
    <x:row r="83" ht="38.25">
      <x:c r="A83" s="6" t="s">
        <x:v>374</x:v>
      </x:c>
      <x:c r="B83" s="6" t="s">
        <x:v>67</x:v>
      </x:c>
      <x:c r="C83" s="6" t="s">
        <x:v>262</x:v>
      </x:c>
      <x:c r="D83" s="6" t="s">
        <x:v>375</x:v>
      </x:c>
      <x:c r="E83" s="11" t="s">
        <x:v>138</x:v>
      </x:c>
      <x:c r="F83" s="11" t="s">
        <x:v>139</x:v>
      </x:c>
      <x:c r="G83" s="6" t="s">
        <x:v>372</x:v>
      </x:c>
      <x:c r="H83" s="6" t="s">
        <x:v>246</x:v>
      </x:c>
      <x:c r="I83" s="6" t="s">
        <x:v>265</x:v>
      </x:c>
      <x:c r="J83" s="7" t="s">
        <x:v>108</x:v>
      </x:c>
      <x:c r="K83" s="7"/>
      <x:c r="L83" s="8"/>
      <x:c r="M83" s="7"/>
      <x:c r="N83" s="7"/>
      <x:c r="O83" s="8"/>
      <x:c r="P83" s="6" t="str">
        <x:f t="shared" si="2"/>
        <x:v>Pendiente</x:v>
      </x:c>
    </x:row>
    <x:row r="84" ht="25.5">
      <x:c r="A84" s="5" t="s">
        <x:v>376</x:v>
      </x:c>
      <x:c r="B84" s="5" t="s">
        <x:v>67</x:v>
      </x:c>
      <x:c r="C84" s="5" t="s">
        <x:v>267</x:v>
      </x:c>
      <x:c r="D84" s="5" t="s">
        <x:v>377</x:v>
      </x:c>
      <x:c r="E84" s="10" t="s">
        <x:v>138</x:v>
      </x:c>
      <x:c r="F84" s="10" t="s">
        <x:v>139</x:v>
      </x:c>
      <x:c r="G84" s="5" t="s">
        <x:v>378</x:v>
      </x:c>
      <x:c r="H84" s="5" t="s">
        <x:v>270</x:v>
      </x:c>
      <x:c r="I84" s="5" t="s">
        <x:v>271</x:v>
      </x:c>
      <x:c r="J84" s="7" t="s">
        <x:v>108</x:v>
      </x:c>
      <x:c r="K84" s="7"/>
      <x:c r="L84" s="8"/>
      <x:c r="M84" s="7"/>
      <x:c r="N84" s="7"/>
      <x:c r="O84" s="8"/>
      <x:c r="P84" s="5" t="str">
        <x:f t="shared" si="2"/>
        <x:v>Pendiente</x:v>
      </x:c>
    </x:row>
    <x:row r="85" ht="38.25">
      <x:c r="A85" s="6" t="s">
        <x:v>379</x:v>
      </x:c>
      <x:c r="B85" s="6" t="s">
        <x:v>67</x:v>
      </x:c>
      <x:c r="C85" s="6" t="s">
        <x:v>273</x:v>
      </x:c>
      <x:c r="D85" s="6" t="s">
        <x:v>380</x:v>
      </x:c>
      <x:c r="E85" s="11" t="s">
        <x:v>138</x:v>
      </x:c>
      <x:c r="F85" s="11" t="s">
        <x:v>139</x:v>
      </x:c>
      <x:c r="G85" s="6" t="str">
        <x:v>3.07.06;2.21</x:v>
      </x:c>
      <x:c r="H85" s="6" t="s">
        <x:v>275</x:v>
      </x:c>
      <x:c r="I85" s="6" t="s">
        <x:v>276</x:v>
      </x:c>
      <x:c r="J85" s="7" t="s">
        <x:v>108</x:v>
      </x:c>
      <x:c r="K85" s="7"/>
      <x:c r="L85" s="8"/>
      <x:c r="M85" s="7"/>
      <x:c r="N85" s="7"/>
      <x:c r="O85" s="8"/>
      <x:c r="P85" s="6" t="str">
        <x:f t="shared" si="2"/>
        <x:v>Pendiente</x:v>
      </x:c>
    </x:row>
    <x:row r="86" ht="25.5">
      <x:c r="A86" s="5" t="s">
        <x:v>381</x:v>
      </x:c>
      <x:c r="B86" s="5" t="s">
        <x:v>67</x:v>
      </x:c>
      <x:c r="C86" s="5" t="s">
        <x:v>278</x:v>
      </x:c>
      <x:c r="D86" s="5" t="s">
        <x:v>279</x:v>
      </x:c>
      <x:c r="E86" s="10" t="s">
        <x:v>138</x:v>
      </x:c>
      <x:c r="F86" s="10" t="s">
        <x:v>139</x:v>
      </x:c>
      <x:c r="G86" s="5" t="s">
        <x:v>379</x:v>
      </x:c>
      <x:c r="H86" s="5" t="s">
        <x:v>275</x:v>
      </x:c>
      <x:c r="I86" s="5" t="s">
        <x:v>280</x:v>
      </x:c>
      <x:c r="J86" s="7" t="s">
        <x:v>108</x:v>
      </x:c>
      <x:c r="K86" s="7"/>
      <x:c r="L86" s="8"/>
      <x:c r="M86" s="7"/>
      <x:c r="N86" s="7"/>
      <x:c r="O86" s="8"/>
      <x:c r="P86" s="5" t="str">
        <x:f t="shared" si="2"/>
        <x:v>Pendiente</x:v>
      </x:c>
    </x:row>
    <x:row r="87" ht="38.25">
      <x:c r="A87" s="6" t="s">
        <x:v>382</x:v>
      </x:c>
      <x:c r="B87" s="6" t="s">
        <x:v>71</x:v>
      </x:c>
      <x:c r="C87" s="6" t="s">
        <x:v>243</x:v>
      </x:c>
      <x:c r="D87" s="6" t="s">
        <x:v>383</x:v>
      </x:c>
      <x:c r="E87" s="11" t="s">
        <x:v>138</x:v>
      </x:c>
      <x:c r="F87" s="11" t="s">
        <x:v>139</x:v>
      </x:c>
      <x:c r="G87" s="6" t="s">
        <x:v>384</x:v>
      </x:c>
      <x:c r="H87" s="6" t="s">
        <x:v>246</x:v>
      </x:c>
      <x:c r="I87" s="6" t="s">
        <x:v>247</x:v>
      </x:c>
      <x:c r="J87" s="7" t="s">
        <x:v>108</x:v>
      </x:c>
      <x:c r="K87" s="7"/>
      <x:c r="L87" s="8"/>
      <x:c r="M87" s="7"/>
      <x:c r="N87" s="7"/>
      <x:c r="O87" s="8"/>
      <x:c r="P87" s="6" t="str">
        <x:f t="shared" si="2"/>
        <x:v>Pendiente</x:v>
      </x:c>
    </x:row>
    <x:row r="88" ht="25.5">
      <x:c r="A88" s="5" t="s">
        <x:v>385</x:v>
      </x:c>
      <x:c r="B88" s="5" t="s">
        <x:v>71</x:v>
      </x:c>
      <x:c r="C88" s="5" t="s">
        <x:v>249</x:v>
      </x:c>
      <x:c r="D88" s="5" t="s">
        <x:v>386</x:v>
      </x:c>
      <x:c r="E88" s="10" t="s">
        <x:v>138</x:v>
      </x:c>
      <x:c r="F88" s="10" t="s">
        <x:v>139</x:v>
      </x:c>
      <x:c r="G88" s="5" t="s">
        <x:v>382</x:v>
      </x:c>
      <x:c r="H88" s="5" t="s">
        <x:v>246</x:v>
      </x:c>
      <x:c r="I88" s="5" t="s">
        <x:v>251</x:v>
      </x:c>
      <x:c r="J88" s="7" t="s">
        <x:v>108</x:v>
      </x:c>
      <x:c r="K88" s="7"/>
      <x:c r="L88" s="8"/>
      <x:c r="M88" s="7"/>
      <x:c r="N88" s="7"/>
      <x:c r="O88" s="8"/>
      <x:c r="P88" s="5" t="str">
        <x:f t="shared" si="2"/>
        <x:v>Pendiente</x:v>
      </x:c>
    </x:row>
    <x:row r="89" ht="38.25">
      <x:c r="A89" s="6" t="s">
        <x:v>387</x:v>
      </x:c>
      <x:c r="B89" s="6" t="s">
        <x:v>71</x:v>
      </x:c>
      <x:c r="C89" s="6" t="s">
        <x:v>253</x:v>
      </x:c>
      <x:c r="D89" s="6" t="s">
        <x:v>388</x:v>
      </x:c>
      <x:c r="E89" s="11" t="s">
        <x:v>255</x:v>
      </x:c>
      <x:c r="F89" s="11" t="s">
        <x:v>104</x:v>
      </x:c>
      <x:c r="G89" s="6" t="str">
        <x:v>3.08.02;2.20</x:v>
      </x:c>
      <x:c r="H89" s="6" t="s">
        <x:v>246</x:v>
      </x:c>
      <x:c r="I89" s="6" t="s">
        <x:v>256</x:v>
      </x:c>
      <x:c r="J89" s="7" t="s">
        <x:v>108</x:v>
      </x:c>
      <x:c r="K89" s="7"/>
      <x:c r="L89" s="8"/>
      <x:c r="M89" s="7"/>
      <x:c r="N89" s="7"/>
      <x:c r="O89" s="8"/>
      <x:c r="P89" s="6" t="str">
        <x:f t="shared" si="2"/>
        <x:v>Pendiente</x:v>
      </x:c>
    </x:row>
    <x:row r="90" ht="25.5">
      <x:c r="A90" s="5" t="s">
        <x:v>389</x:v>
      </x:c>
      <x:c r="B90" s="5" t="s">
        <x:v>71</x:v>
      </x:c>
      <x:c r="C90" s="5" t="s">
        <x:v>258</x:v>
      </x:c>
      <x:c r="D90" s="5" t="s">
        <x:v>390</x:v>
      </x:c>
      <x:c r="E90" s="10" t="s">
        <x:v>138</x:v>
      </x:c>
      <x:c r="F90" s="10" t="s">
        <x:v>139</x:v>
      </x:c>
      <x:c r="G90" s="5" t="s">
        <x:v>387</x:v>
      </x:c>
      <x:c r="H90" s="5" t="s">
        <x:v>246</x:v>
      </x:c>
      <x:c r="I90" s="5" t="s">
        <x:v>260</x:v>
      </x:c>
      <x:c r="J90" s="7" t="s">
        <x:v>108</x:v>
      </x:c>
      <x:c r="K90" s="7"/>
      <x:c r="L90" s="8"/>
      <x:c r="M90" s="7"/>
      <x:c r="N90" s="7"/>
      <x:c r="O90" s="8"/>
      <x:c r="P90" s="5" t="str">
        <x:f t="shared" si="2"/>
        <x:v>Pendiente</x:v>
      </x:c>
    </x:row>
    <x:row r="91" ht="38.25">
      <x:c r="A91" s="6" t="s">
        <x:v>391</x:v>
      </x:c>
      <x:c r="B91" s="6" t="s">
        <x:v>71</x:v>
      </x:c>
      <x:c r="C91" s="6" t="s">
        <x:v>262</x:v>
      </x:c>
      <x:c r="D91" s="6" t="s">
        <x:v>392</x:v>
      </x:c>
      <x:c r="E91" s="11" t="s">
        <x:v>138</x:v>
      </x:c>
      <x:c r="F91" s="11" t="s">
        <x:v>139</x:v>
      </x:c>
      <x:c r="G91" s="6" t="s">
        <x:v>389</x:v>
      </x:c>
      <x:c r="H91" s="6" t="s">
        <x:v>246</x:v>
      </x:c>
      <x:c r="I91" s="6" t="s">
        <x:v>265</x:v>
      </x:c>
      <x:c r="J91" s="7" t="s">
        <x:v>108</x:v>
      </x:c>
      <x:c r="K91" s="7"/>
      <x:c r="L91" s="8"/>
      <x:c r="M91" s="7"/>
      <x:c r="N91" s="7"/>
      <x:c r="O91" s="8"/>
      <x:c r="P91" s="6" t="str">
        <x:f t="shared" si="2"/>
        <x:v>Pendiente</x:v>
      </x:c>
    </x:row>
    <x:row r="92" ht="25.5">
      <x:c r="A92" s="5" t="s">
        <x:v>393</x:v>
      </x:c>
      <x:c r="B92" s="5" t="s">
        <x:v>71</x:v>
      </x:c>
      <x:c r="C92" s="5" t="s">
        <x:v>267</x:v>
      </x:c>
      <x:c r="D92" s="5" t="s">
        <x:v>394</x:v>
      </x:c>
      <x:c r="E92" s="10" t="s">
        <x:v>138</x:v>
      </x:c>
      <x:c r="F92" s="10" t="s">
        <x:v>139</x:v>
      </x:c>
      <x:c r="G92" s="5" t="s">
        <x:v>395</x:v>
      </x:c>
      <x:c r="H92" s="5" t="s">
        <x:v>270</x:v>
      </x:c>
      <x:c r="I92" s="5" t="s">
        <x:v>271</x:v>
      </x:c>
      <x:c r="J92" s="7" t="s">
        <x:v>108</x:v>
      </x:c>
      <x:c r="K92" s="7"/>
      <x:c r="L92" s="8"/>
      <x:c r="M92" s="7"/>
      <x:c r="N92" s="7"/>
      <x:c r="O92" s="8"/>
      <x:c r="P92" s="5" t="str">
        <x:f t="shared" si="2"/>
        <x:v>Pendiente</x:v>
      </x:c>
    </x:row>
    <x:row r="93" ht="25.5">
      <x:c r="A93" s="6" t="s">
        <x:v>396</x:v>
      </x:c>
      <x:c r="B93" s="6" t="s">
        <x:v>71</x:v>
      </x:c>
      <x:c r="C93" s="6" t="s">
        <x:v>273</x:v>
      </x:c>
      <x:c r="D93" s="6" t="s">
        <x:v>397</x:v>
      </x:c>
      <x:c r="E93" s="11" t="s">
        <x:v>138</x:v>
      </x:c>
      <x:c r="F93" s="11" t="s">
        <x:v>139</x:v>
      </x:c>
      <x:c r="G93" s="6" t="str">
        <x:v>3.08.06;2.21</x:v>
      </x:c>
      <x:c r="H93" s="6" t="s">
        <x:v>275</x:v>
      </x:c>
      <x:c r="I93" s="6" t="s">
        <x:v>276</x:v>
      </x:c>
      <x:c r="J93" s="7" t="s">
        <x:v>108</x:v>
      </x:c>
      <x:c r="K93" s="7"/>
      <x:c r="L93" s="8"/>
      <x:c r="M93" s="7"/>
      <x:c r="N93" s="7"/>
      <x:c r="O93" s="8"/>
      <x:c r="P93" s="6" t="str">
        <x:f t="shared" si="2"/>
        <x:v>Pendiente</x:v>
      </x:c>
    </x:row>
    <x:row r="94" ht="25.5">
      <x:c r="A94" s="5" t="s">
        <x:v>398</x:v>
      </x:c>
      <x:c r="B94" s="5" t="s">
        <x:v>71</x:v>
      </x:c>
      <x:c r="C94" s="5" t="s">
        <x:v>278</x:v>
      </x:c>
      <x:c r="D94" s="5" t="s">
        <x:v>279</x:v>
      </x:c>
      <x:c r="E94" s="10" t="s">
        <x:v>138</x:v>
      </x:c>
      <x:c r="F94" s="10" t="s">
        <x:v>139</x:v>
      </x:c>
      <x:c r="G94" s="5" t="s">
        <x:v>396</x:v>
      </x:c>
      <x:c r="H94" s="5" t="s">
        <x:v>275</x:v>
      </x:c>
      <x:c r="I94" s="5" t="s">
        <x:v>280</x:v>
      </x:c>
      <x:c r="J94" s="7" t="s">
        <x:v>108</x:v>
      </x:c>
      <x:c r="K94" s="7"/>
      <x:c r="L94" s="8"/>
      <x:c r="M94" s="7"/>
      <x:c r="N94" s="7"/>
      <x:c r="O94" s="8"/>
      <x:c r="P94" s="5" t="str">
        <x:f t="shared" si="2"/>
        <x:v>Pendiente</x:v>
      </x:c>
    </x:row>
    <x:row r="95" ht="25.5">
      <x:c r="A95" s="6" t="s">
        <x:v>399</x:v>
      </x:c>
      <x:c r="B95" s="6" t="s">
        <x:v>75</x:v>
      </x:c>
      <x:c r="C95" s="6" t="s">
        <x:v>243</x:v>
      </x:c>
      <x:c r="D95" s="6" t="s">
        <x:v>400</x:v>
      </x:c>
      <x:c r="E95" s="11" t="s">
        <x:v>138</x:v>
      </x:c>
      <x:c r="F95" s="11" t="s">
        <x:v>139</x:v>
      </x:c>
      <x:c r="G95" s="6" t="s">
        <x:v>401</x:v>
      </x:c>
      <x:c r="H95" s="6" t="s">
        <x:v>246</x:v>
      </x:c>
      <x:c r="I95" s="6" t="s">
        <x:v>247</x:v>
      </x:c>
      <x:c r="J95" s="7" t="s">
        <x:v>108</x:v>
      </x:c>
      <x:c r="K95" s="7"/>
      <x:c r="L95" s="8"/>
      <x:c r="M95" s="7"/>
      <x:c r="N95" s="7"/>
      <x:c r="O95" s="8"/>
      <x:c r="P95" s="6" t="str">
        <x:f t="shared" si="2"/>
        <x:v>Pendiente</x:v>
      </x:c>
    </x:row>
    <x:row r="96" ht="25.5">
      <x:c r="A96" s="5" t="s">
        <x:v>402</x:v>
      </x:c>
      <x:c r="B96" s="5" t="s">
        <x:v>75</x:v>
      </x:c>
      <x:c r="C96" s="5" t="s">
        <x:v>249</x:v>
      </x:c>
      <x:c r="D96" s="5" t="s">
        <x:v>403</x:v>
      </x:c>
      <x:c r="E96" s="10" t="s">
        <x:v>138</x:v>
      </x:c>
      <x:c r="F96" s="10" t="s">
        <x:v>139</x:v>
      </x:c>
      <x:c r="G96" s="5" t="s">
        <x:v>399</x:v>
      </x:c>
      <x:c r="H96" s="5" t="s">
        <x:v>246</x:v>
      </x:c>
      <x:c r="I96" s="5" t="s">
        <x:v>251</x:v>
      </x:c>
      <x:c r="J96" s="7" t="s">
        <x:v>108</x:v>
      </x:c>
      <x:c r="K96" s="7"/>
      <x:c r="L96" s="8"/>
      <x:c r="M96" s="7"/>
      <x:c r="N96" s="7"/>
      <x:c r="O96" s="8"/>
      <x:c r="P96" s="5" t="str">
        <x:f t="shared" si="2"/>
        <x:v>Pendiente</x:v>
      </x:c>
    </x:row>
    <x:row r="97" ht="38.25">
      <x:c r="A97" s="6" t="s">
        <x:v>404</x:v>
      </x:c>
      <x:c r="B97" s="6" t="s">
        <x:v>75</x:v>
      </x:c>
      <x:c r="C97" s="6" t="s">
        <x:v>253</x:v>
      </x:c>
      <x:c r="D97" s="6" t="s">
        <x:v>405</x:v>
      </x:c>
      <x:c r="E97" s="11" t="s">
        <x:v>255</x:v>
      </x:c>
      <x:c r="F97" s="11" t="s">
        <x:v>104</x:v>
      </x:c>
      <x:c r="G97" s="6" t="str">
        <x:v>3.09.02;2.20</x:v>
      </x:c>
      <x:c r="H97" s="6" t="s">
        <x:v>246</x:v>
      </x:c>
      <x:c r="I97" s="6" t="s">
        <x:v>256</x:v>
      </x:c>
      <x:c r="J97" s="7" t="s">
        <x:v>108</x:v>
      </x:c>
      <x:c r="K97" s="7"/>
      <x:c r="L97" s="8"/>
      <x:c r="M97" s="7"/>
      <x:c r="N97" s="7"/>
      <x:c r="O97" s="8"/>
      <x:c r="P97" s="6" t="str">
        <x:f t="shared" si="2"/>
        <x:v>Pendiente</x:v>
      </x:c>
    </x:row>
    <x:row r="98" ht="38.25">
      <x:c r="A98" s="5" t="s">
        <x:v>406</x:v>
      </x:c>
      <x:c r="B98" s="5" t="s">
        <x:v>75</x:v>
      </x:c>
      <x:c r="C98" s="5" t="s">
        <x:v>258</x:v>
      </x:c>
      <x:c r="D98" s="5" t="s">
        <x:v>407</x:v>
      </x:c>
      <x:c r="E98" s="10" t="s">
        <x:v>138</x:v>
      </x:c>
      <x:c r="F98" s="10" t="s">
        <x:v>139</x:v>
      </x:c>
      <x:c r="G98" s="5" t="s">
        <x:v>404</x:v>
      </x:c>
      <x:c r="H98" s="5" t="s">
        <x:v>246</x:v>
      </x:c>
      <x:c r="I98" s="5" t="s">
        <x:v>260</x:v>
      </x:c>
      <x:c r="J98" s="7" t="s">
        <x:v>108</x:v>
      </x:c>
      <x:c r="K98" s="7"/>
      <x:c r="L98" s="8"/>
      <x:c r="M98" s="7"/>
      <x:c r="N98" s="7"/>
      <x:c r="O98" s="8"/>
      <x:c r="P98" s="5" t="str">
        <x:f t="shared" si="2"/>
        <x:v>Pendiente</x:v>
      </x:c>
    </x:row>
    <x:row r="99" ht="51">
      <x:c r="A99" s="6" t="s">
        <x:v>408</x:v>
      </x:c>
      <x:c r="B99" s="6" t="s">
        <x:v>75</x:v>
      </x:c>
      <x:c r="C99" s="6" t="s">
        <x:v>262</x:v>
      </x:c>
      <x:c r="D99" s="6" t="s">
        <x:v>409</x:v>
      </x:c>
      <x:c r="E99" s="11" t="s">
        <x:v>138</x:v>
      </x:c>
      <x:c r="F99" s="11" t="s">
        <x:v>139</x:v>
      </x:c>
      <x:c r="G99" s="6" t="s">
        <x:v>406</x:v>
      </x:c>
      <x:c r="H99" s="6" t="s">
        <x:v>246</x:v>
      </x:c>
      <x:c r="I99" s="6" t="s">
        <x:v>265</x:v>
      </x:c>
      <x:c r="J99" s="7" t="s">
        <x:v>108</x:v>
      </x:c>
      <x:c r="K99" s="7"/>
      <x:c r="L99" s="8"/>
      <x:c r="M99" s="7"/>
      <x:c r="N99" s="7"/>
      <x:c r="O99" s="8"/>
      <x:c r="P99" s="6" t="str">
        <x:f t="shared" si="2"/>
        <x:v>Pendiente</x:v>
      </x:c>
    </x:row>
    <x:row r="100" ht="25.5">
      <x:c r="A100" s="5" t="s">
        <x:v>410</x:v>
      </x:c>
      <x:c r="B100" s="5" t="s">
        <x:v>75</x:v>
      </x:c>
      <x:c r="C100" s="5" t="s">
        <x:v>267</x:v>
      </x:c>
      <x:c r="D100" s="5" t="s">
        <x:v>411</x:v>
      </x:c>
      <x:c r="E100" s="10" t="s">
        <x:v>138</x:v>
      </x:c>
      <x:c r="F100" s="10" t="s">
        <x:v>139</x:v>
      </x:c>
      <x:c r="G100" s="5" t="s">
        <x:v>412</x:v>
      </x:c>
      <x:c r="H100" s="5" t="s">
        <x:v>270</x:v>
      </x:c>
      <x:c r="I100" s="5" t="s">
        <x:v>271</x:v>
      </x:c>
      <x:c r="J100" s="7" t="s">
        <x:v>108</x:v>
      </x:c>
      <x:c r="K100" s="7"/>
      <x:c r="L100" s="8"/>
      <x:c r="M100" s="7"/>
      <x:c r="N100" s="7"/>
      <x:c r="O100" s="8"/>
      <x:c r="P100" s="5" t="str">
        <x:f t="shared" si="2"/>
        <x:v>Pendiente</x:v>
      </x:c>
    </x:row>
    <x:row r="101" ht="38.25">
      <x:c r="A101" s="6" t="s">
        <x:v>413</x:v>
      </x:c>
      <x:c r="B101" s="6" t="s">
        <x:v>75</x:v>
      </x:c>
      <x:c r="C101" s="6" t="s">
        <x:v>273</x:v>
      </x:c>
      <x:c r="D101" s="6" t="s">
        <x:v>414</x:v>
      </x:c>
      <x:c r="E101" s="11" t="s">
        <x:v>138</x:v>
      </x:c>
      <x:c r="F101" s="11" t="s">
        <x:v>139</x:v>
      </x:c>
      <x:c r="G101" s="6" t="str">
        <x:v>3.09.06;2.21</x:v>
      </x:c>
      <x:c r="H101" s="6" t="s">
        <x:v>275</x:v>
      </x:c>
      <x:c r="I101" s="6" t="s">
        <x:v>276</x:v>
      </x:c>
      <x:c r="J101" s="7" t="s">
        <x:v>108</x:v>
      </x:c>
      <x:c r="K101" s="7"/>
      <x:c r="L101" s="8"/>
      <x:c r="M101" s="7"/>
      <x:c r="N101" s="7"/>
      <x:c r="O101" s="8"/>
      <x:c r="P101" s="6" t="str">
        <x:f t="shared" si="2"/>
        <x:v>Pendiente</x:v>
      </x:c>
    </x:row>
    <x:row r="102" ht="25.5">
      <x:c r="A102" s="5" t="s">
        <x:v>415</x:v>
      </x:c>
      <x:c r="B102" s="5" t="s">
        <x:v>75</x:v>
      </x:c>
      <x:c r="C102" s="5" t="s">
        <x:v>278</x:v>
      </x:c>
      <x:c r="D102" s="5" t="s">
        <x:v>279</x:v>
      </x:c>
      <x:c r="E102" s="10" t="s">
        <x:v>138</x:v>
      </x:c>
      <x:c r="F102" s="10" t="s">
        <x:v>139</x:v>
      </x:c>
      <x:c r="G102" s="5" t="s">
        <x:v>413</x:v>
      </x:c>
      <x:c r="H102" s="5" t="s">
        <x:v>275</x:v>
      </x:c>
      <x:c r="I102" s="5" t="s">
        <x:v>280</x:v>
      </x:c>
      <x:c r="J102" s="7" t="s">
        <x:v>108</x:v>
      </x:c>
      <x:c r="K102" s="7"/>
      <x:c r="L102" s="8"/>
      <x:c r="M102" s="7"/>
      <x:c r="N102" s="7"/>
      <x:c r="O102" s="8"/>
      <x:c r="P102" s="5" t="str">
        <x:f t="shared" ref="P102:P117" si="3">IF(J102="Cerrado",IF(AND(K102&lt;&gt;"",M102&lt;&gt;"",N102&lt;&gt;"",ISNUMBER(O102)),"Cierre documentado","Falta evidencia o aceptación"),"Pendiente")</x:f>
        <x:v>Pendiente</x:v>
      </x:c>
    </x:row>
    <x:row r="103" ht="25.5">
      <x:c r="A103" s="6" t="s">
        <x:v>416</x:v>
      </x:c>
      <x:c r="B103" s="6" t="s">
        <x:v>79</x:v>
      </x:c>
      <x:c r="C103" s="6" t="s">
        <x:v>243</x:v>
      </x:c>
      <x:c r="D103" s="6" t="s">
        <x:v>417</x:v>
      </x:c>
      <x:c r="E103" s="11" t="s">
        <x:v>138</x:v>
      </x:c>
      <x:c r="F103" s="11" t="s">
        <x:v>139</x:v>
      </x:c>
      <x:c r="G103" s="6" t="s">
        <x:v>245</x:v>
      </x:c>
      <x:c r="H103" s="6" t="s">
        <x:v>246</x:v>
      </x:c>
      <x:c r="I103" s="6" t="s">
        <x:v>247</x:v>
      </x:c>
      <x:c r="J103" s="7" t="s">
        <x:v>108</x:v>
      </x:c>
      <x:c r="K103" s="7"/>
      <x:c r="L103" s="8"/>
      <x:c r="M103" s="7"/>
      <x:c r="N103" s="7"/>
      <x:c r="O103" s="8"/>
      <x:c r="P103" s="6" t="str">
        <x:f t="shared" si="3"/>
        <x:v>Pendiente</x:v>
      </x:c>
    </x:row>
    <x:row r="104" ht="25.5">
      <x:c r="A104" s="5" t="s">
        <x:v>418</x:v>
      </x:c>
      <x:c r="B104" s="5" t="s">
        <x:v>79</x:v>
      </x:c>
      <x:c r="C104" s="5" t="s">
        <x:v>249</x:v>
      </x:c>
      <x:c r="D104" s="5" t="s">
        <x:v>419</x:v>
      </x:c>
      <x:c r="E104" s="10" t="s">
        <x:v>138</x:v>
      </x:c>
      <x:c r="F104" s="10" t="s">
        <x:v>139</x:v>
      </x:c>
      <x:c r="G104" s="5" t="s">
        <x:v>416</x:v>
      </x:c>
      <x:c r="H104" s="5" t="s">
        <x:v>246</x:v>
      </x:c>
      <x:c r="I104" s="5" t="s">
        <x:v>251</x:v>
      </x:c>
      <x:c r="J104" s="7" t="s">
        <x:v>108</x:v>
      </x:c>
      <x:c r="K104" s="7"/>
      <x:c r="L104" s="8"/>
      <x:c r="M104" s="7"/>
      <x:c r="N104" s="7"/>
      <x:c r="O104" s="8"/>
      <x:c r="P104" s="5" t="str">
        <x:f t="shared" si="3"/>
        <x:v>Pendiente</x:v>
      </x:c>
    </x:row>
    <x:row r="105" ht="38.25">
      <x:c r="A105" s="6" t="s">
        <x:v>420</x:v>
      </x:c>
      <x:c r="B105" s="6" t="s">
        <x:v>79</x:v>
      </x:c>
      <x:c r="C105" s="6" t="s">
        <x:v>253</x:v>
      </x:c>
      <x:c r="D105" s="6" t="s">
        <x:v>421</x:v>
      </x:c>
      <x:c r="E105" s="11" t="s">
        <x:v>255</x:v>
      </x:c>
      <x:c r="F105" s="11" t="s">
        <x:v>104</x:v>
      </x:c>
      <x:c r="G105" s="6" t="str">
        <x:v>3.10.02;2.20</x:v>
      </x:c>
      <x:c r="H105" s="6" t="s">
        <x:v>246</x:v>
      </x:c>
      <x:c r="I105" s="6" t="s">
        <x:v>256</x:v>
      </x:c>
      <x:c r="J105" s="7" t="s">
        <x:v>108</x:v>
      </x:c>
      <x:c r="K105" s="7"/>
      <x:c r="L105" s="8"/>
      <x:c r="M105" s="7"/>
      <x:c r="N105" s="7"/>
      <x:c r="O105" s="8"/>
      <x:c r="P105" s="6" t="str">
        <x:f t="shared" si="3"/>
        <x:v>Pendiente</x:v>
      </x:c>
    </x:row>
    <x:row r="106" ht="25.5">
      <x:c r="A106" s="5" t="s">
        <x:v>422</x:v>
      </x:c>
      <x:c r="B106" s="5" t="s">
        <x:v>79</x:v>
      </x:c>
      <x:c r="C106" s="5" t="s">
        <x:v>258</x:v>
      </x:c>
      <x:c r="D106" s="5" t="s">
        <x:v>423</x:v>
      </x:c>
      <x:c r="E106" s="10" t="s">
        <x:v>138</x:v>
      </x:c>
      <x:c r="F106" s="10" t="s">
        <x:v>139</x:v>
      </x:c>
      <x:c r="G106" s="5" t="s">
        <x:v>420</x:v>
      </x:c>
      <x:c r="H106" s="5" t="s">
        <x:v>246</x:v>
      </x:c>
      <x:c r="I106" s="5" t="s">
        <x:v>260</x:v>
      </x:c>
      <x:c r="J106" s="7" t="s">
        <x:v>108</x:v>
      </x:c>
      <x:c r="K106" s="7"/>
      <x:c r="L106" s="8"/>
      <x:c r="M106" s="7"/>
      <x:c r="N106" s="7"/>
      <x:c r="O106" s="8"/>
      <x:c r="P106" s="5" t="str">
        <x:f t="shared" si="3"/>
        <x:v>Pendiente</x:v>
      </x:c>
    </x:row>
    <x:row r="107" ht="38.25">
      <x:c r="A107" s="6" t="s">
        <x:v>424</x:v>
      </x:c>
      <x:c r="B107" s="6" t="s">
        <x:v>79</x:v>
      </x:c>
      <x:c r="C107" s="6" t="s">
        <x:v>262</x:v>
      </x:c>
      <x:c r="D107" s="6" t="s">
        <x:v>425</x:v>
      </x:c>
      <x:c r="E107" s="11" t="s">
        <x:v>138</x:v>
      </x:c>
      <x:c r="F107" s="11" t="s">
        <x:v>139</x:v>
      </x:c>
      <x:c r="G107" s="6" t="s">
        <x:v>422</x:v>
      </x:c>
      <x:c r="H107" s="6" t="s">
        <x:v>246</x:v>
      </x:c>
      <x:c r="I107" s="6" t="s">
        <x:v>265</x:v>
      </x:c>
      <x:c r="J107" s="7" t="s">
        <x:v>108</x:v>
      </x:c>
      <x:c r="K107" s="7"/>
      <x:c r="L107" s="8"/>
      <x:c r="M107" s="7"/>
      <x:c r="N107" s="7"/>
      <x:c r="O107" s="8"/>
      <x:c r="P107" s="6" t="str">
        <x:f t="shared" si="3"/>
        <x:v>Pendiente</x:v>
      </x:c>
    </x:row>
    <x:row r="108" ht="25.5">
      <x:c r="A108" s="5" t="s">
        <x:v>426</x:v>
      </x:c>
      <x:c r="B108" s="5" t="s">
        <x:v>79</x:v>
      </x:c>
      <x:c r="C108" s="5" t="s">
        <x:v>267</x:v>
      </x:c>
      <x:c r="D108" s="5" t="s">
        <x:v>427</x:v>
      </x:c>
      <x:c r="E108" s="10" t="s">
        <x:v>138</x:v>
      </x:c>
      <x:c r="F108" s="10" t="s">
        <x:v>139</x:v>
      </x:c>
      <x:c r="G108" s="5" t="s">
        <x:v>428</x:v>
      </x:c>
      <x:c r="H108" s="5" t="s">
        <x:v>270</x:v>
      </x:c>
      <x:c r="I108" s="5" t="s">
        <x:v>271</x:v>
      </x:c>
      <x:c r="J108" s="7" t="s">
        <x:v>108</x:v>
      </x:c>
      <x:c r="K108" s="7"/>
      <x:c r="L108" s="8"/>
      <x:c r="M108" s="7"/>
      <x:c r="N108" s="7"/>
      <x:c r="O108" s="8"/>
      <x:c r="P108" s="5" t="str">
        <x:f t="shared" si="3"/>
        <x:v>Pendiente</x:v>
      </x:c>
    </x:row>
    <x:row r="109" ht="38.25">
      <x:c r="A109" s="6" t="s">
        <x:v>429</x:v>
      </x:c>
      <x:c r="B109" s="6" t="s">
        <x:v>79</x:v>
      </x:c>
      <x:c r="C109" s="6" t="s">
        <x:v>273</x:v>
      </x:c>
      <x:c r="D109" s="6" t="s">
        <x:v>430</x:v>
      </x:c>
      <x:c r="E109" s="11" t="s">
        <x:v>138</x:v>
      </x:c>
      <x:c r="F109" s="11" t="s">
        <x:v>139</x:v>
      </x:c>
      <x:c r="G109" s="6" t="str">
        <x:v>3.10.06;2.21</x:v>
      </x:c>
      <x:c r="H109" s="6" t="s">
        <x:v>275</x:v>
      </x:c>
      <x:c r="I109" s="6" t="s">
        <x:v>276</x:v>
      </x:c>
      <x:c r="J109" s="7" t="s">
        <x:v>108</x:v>
      </x:c>
      <x:c r="K109" s="7"/>
      <x:c r="L109" s="8"/>
      <x:c r="M109" s="7"/>
      <x:c r="N109" s="7"/>
      <x:c r="O109" s="8"/>
      <x:c r="P109" s="6" t="str">
        <x:f t="shared" si="3"/>
        <x:v>Pendiente</x:v>
      </x:c>
    </x:row>
    <x:row r="110" ht="25.5">
      <x:c r="A110" s="5" t="s">
        <x:v>431</x:v>
      </x:c>
      <x:c r="B110" s="5" t="s">
        <x:v>79</x:v>
      </x:c>
      <x:c r="C110" s="5" t="s">
        <x:v>278</x:v>
      </x:c>
      <x:c r="D110" s="5" t="s">
        <x:v>279</x:v>
      </x:c>
      <x:c r="E110" s="10" t="s">
        <x:v>138</x:v>
      </x:c>
      <x:c r="F110" s="10" t="s">
        <x:v>139</x:v>
      </x:c>
      <x:c r="G110" s="5" t="s">
        <x:v>429</x:v>
      </x:c>
      <x:c r="H110" s="5" t="s">
        <x:v>275</x:v>
      </x:c>
      <x:c r="I110" s="5" t="s">
        <x:v>280</x:v>
      </x:c>
      <x:c r="J110" s="7" t="s">
        <x:v>108</x:v>
      </x:c>
      <x:c r="K110" s="7"/>
      <x:c r="L110" s="8"/>
      <x:c r="M110" s="7"/>
      <x:c r="N110" s="7"/>
      <x:c r="O110" s="8"/>
      <x:c r="P110" s="5" t="str">
        <x:f t="shared" si="3"/>
        <x:v>Pendiente</x:v>
      </x:c>
    </x:row>
    <x:row r="111" ht="38.25">
      <x:c r="A111" s="6" t="s">
        <x:v>432</x:v>
      </x:c>
      <x:c r="B111" s="6" t="s">
        <x:v>101</x:v>
      </x:c>
      <x:c r="C111" s="6" t="s">
        <x:v>433</x:v>
      </x:c>
      <x:c r="D111" s="6" t="s">
        <x:v>434</x:v>
      </x:c>
      <x:c r="E111" s="11" t="s">
        <x:v>112</x:v>
      </x:c>
      <x:c r="F111" s="11" t="s">
        <x:v>105</x:v>
      </x:c>
      <x:c r="G111" s="6" t="s">
        <x:v>435</x:v>
      </x:c>
      <x:c r="H111" s="6" t="s">
        <x:v>166</x:v>
      </x:c>
      <x:c r="I111" s="6" t="s">
        <x:v>436</x:v>
      </x:c>
      <x:c r="J111" s="7" t="s">
        <x:v>108</x:v>
      </x:c>
      <x:c r="K111" s="7"/>
      <x:c r="L111" s="8"/>
      <x:c r="M111" s="7"/>
      <x:c r="N111" s="7"/>
      <x:c r="O111" s="8"/>
      <x:c r="P111" s="6" t="str">
        <x:f t="shared" si="3"/>
        <x:v>Pendiente</x:v>
      </x:c>
    </x:row>
    <x:row r="112" ht="25.5">
      <x:c r="A112" s="5" t="s">
        <x:v>437</x:v>
      </x:c>
      <x:c r="B112" s="5" t="s">
        <x:v>101</x:v>
      </x:c>
      <x:c r="C112" s="5" t="s">
        <x:v>438</x:v>
      </x:c>
      <x:c r="D112" s="5" t="s">
        <x:v>439</x:v>
      </x:c>
      <x:c r="E112" s="10" t="s">
        <x:v>112</x:v>
      </x:c>
      <x:c r="F112" s="10" t="s">
        <x:v>105</x:v>
      </x:c>
      <x:c r="G112" s="5" t="s">
        <x:v>440</x:v>
      </x:c>
      <x:c r="H112" s="5" t="s">
        <x:v>441</x:v>
      </x:c>
      <x:c r="I112" s="5" t="s">
        <x:v>442</x:v>
      </x:c>
      <x:c r="J112" s="7" t="s">
        <x:v>108</x:v>
      </x:c>
      <x:c r="K112" s="7"/>
      <x:c r="L112" s="8"/>
      <x:c r="M112" s="7"/>
      <x:c r="N112" s="7"/>
      <x:c r="O112" s="8"/>
      <x:c r="P112" s="5" t="str">
        <x:f t="shared" si="3"/>
        <x:v>Pendiente</x:v>
      </x:c>
    </x:row>
    <x:row r="113" ht="25.5">
      <x:c r="A113" s="6" t="s">
        <x:v>443</x:v>
      </x:c>
      <x:c r="B113" s="6" t="s">
        <x:v>101</x:v>
      </x:c>
      <x:c r="C113" s="6" t="s">
        <x:v>444</x:v>
      </x:c>
      <x:c r="D113" s="6" t="s">
        <x:v>445</x:v>
      </x:c>
      <x:c r="E113" s="11" t="s">
        <x:v>112</x:v>
      </x:c>
      <x:c r="F113" s="11" t="s">
        <x:v>105</x:v>
      </x:c>
      <x:c r="G113" s="6" t="s">
        <x:v>437</x:v>
      </x:c>
      <x:c r="H113" s="6" t="s">
        <x:v>446</x:v>
      </x:c>
      <x:c r="I113" s="6" t="s">
        <x:v>447</x:v>
      </x:c>
      <x:c r="J113" s="7" t="s">
        <x:v>108</x:v>
      </x:c>
      <x:c r="K113" s="7"/>
      <x:c r="L113" s="8"/>
      <x:c r="M113" s="7"/>
      <x:c r="N113" s="7"/>
      <x:c r="O113" s="8"/>
      <x:c r="P113" s="6" t="str">
        <x:f t="shared" si="3"/>
        <x:v>Pendiente</x:v>
      </x:c>
    </x:row>
    <x:row r="114" ht="25.5">
      <x:c r="A114" s="5" t="s">
        <x:v>448</x:v>
      </x:c>
      <x:c r="B114" s="5" t="s">
        <x:v>101</x:v>
      </x:c>
      <x:c r="C114" s="5" t="s">
        <x:v>449</x:v>
      </x:c>
      <x:c r="D114" s="5" t="s">
        <x:v>450</x:v>
      </x:c>
      <x:c r="E114" s="10" t="str">
        <x:v>CMZ</x:v>
      </x:c>
      <x:c r="F114" s="10" t="s">
        <x:v>139</x:v>
      </x:c>
      <x:c r="G114" s="5" t="s">
        <x:v>443</x:v>
      </x:c>
      <x:c r="H114" s="5" t="s">
        <x:v>451</x:v>
      </x:c>
      <x:c r="I114" s="5" t="s">
        <x:v>452</x:v>
      </x:c>
      <x:c r="J114" s="7" t="s">
        <x:v>108</x:v>
      </x:c>
      <x:c r="K114" s="7"/>
      <x:c r="L114" s="8"/>
      <x:c r="M114" s="7"/>
      <x:c r="N114" s="7"/>
      <x:c r="O114" s="8"/>
      <x:c r="P114" s="5" t="str">
        <x:f t="shared" si="3"/>
        <x:v>Pendiente</x:v>
      </x:c>
    </x:row>
    <x:row r="115" ht="25.5">
      <x:c r="A115" s="6" t="s">
        <x:v>453</x:v>
      </x:c>
      <x:c r="B115" s="6" t="s">
        <x:v>101</x:v>
      </x:c>
      <x:c r="C115" s="6" t="s">
        <x:v>454</x:v>
      </x:c>
      <x:c r="D115" s="6" t="s">
        <x:v>455</x:v>
      </x:c>
      <x:c r="E115" s="11" t="s">
        <x:v>112</x:v>
      </x:c>
      <x:c r="F115" s="11" t="s">
        <x:v>105</x:v>
      </x:c>
      <x:c r="G115" s="6" t="s">
        <x:v>448</x:v>
      </x:c>
      <x:c r="H115" s="6" t="s">
        <x:v>456</x:v>
      </x:c>
      <x:c r="I115" s="6" t="s">
        <x:v>457</x:v>
      </x:c>
      <x:c r="J115" s="7" t="s">
        <x:v>108</x:v>
      </x:c>
      <x:c r="K115" s="7"/>
      <x:c r="L115" s="8"/>
      <x:c r="M115" s="7"/>
      <x:c r="N115" s="7"/>
      <x:c r="O115" s="8"/>
      <x:c r="P115" s="6" t="str">
        <x:f t="shared" si="3"/>
        <x:v>Pendiente</x:v>
      </x:c>
    </x:row>
    <x:row r="116" ht="25.5">
      <x:c r="A116" s="5" t="s">
        <x:v>458</x:v>
      </x:c>
      <x:c r="B116" s="5" t="s">
        <x:v>101</x:v>
      </x:c>
      <x:c r="C116" s="5" t="s">
        <x:v>459</x:v>
      </x:c>
      <x:c r="D116" s="5" t="s">
        <x:v>460</x:v>
      </x:c>
      <x:c r="E116" s="10" t="s">
        <x:v>104</x:v>
      </x:c>
      <x:c r="F116" s="10" t="s">
        <x:v>105</x:v>
      </x:c>
      <x:c r="G116" s="5" t="s">
        <x:v>453</x:v>
      </x:c>
      <x:c r="H116" s="5" t="s">
        <x:v>461</x:v>
      </x:c>
      <x:c r="I116" s="5" t="s">
        <x:v>462</x:v>
      </x:c>
      <x:c r="J116" s="7" t="s">
        <x:v>108</x:v>
      </x:c>
      <x:c r="K116" s="7"/>
      <x:c r="L116" s="8"/>
      <x:c r="M116" s="7"/>
      <x:c r="N116" s="7"/>
      <x:c r="O116" s="8"/>
      <x:c r="P116" s="5" t="str">
        <x:f t="shared" si="3"/>
        <x:v>Pendiente</x:v>
      </x:c>
    </x:row>
    <x:row r="117" ht="25.5">
      <x:c r="A117" s="6" t="s">
        <x:v>463</x:v>
      </x:c>
      <x:c r="B117" s="6" t="s">
        <x:v>101</x:v>
      </x:c>
      <x:c r="C117" s="6" t="s">
        <x:v>464</x:v>
      </x:c>
      <x:c r="D117" s="6" t="s">
        <x:v>465</x:v>
      </x:c>
      <x:c r="E117" s="11" t="s">
        <x:v>104</x:v>
      </x:c>
      <x:c r="F117" s="11" t="s">
        <x:v>104</x:v>
      </x:c>
      <x:c r="G117" s="6" t="s">
        <x:v>458</x:v>
      </x:c>
      <x:c r="H117" s="6" t="s">
        <x:v>466</x:v>
      </x:c>
      <x:c r="I117" s="6" t="s">
        <x:v>467</x:v>
      </x:c>
      <x:c r="J117" s="7" t="s">
        <x:v>108</x:v>
      </x:c>
      <x:c r="K117" s="7"/>
      <x:c r="L117" s="8"/>
      <x:c r="M117" s="7"/>
      <x:c r="N117" s="7"/>
      <x:c r="O117" s="8"/>
      <x:c r="P117" s="6" t="str">
        <x:f t="shared" si="3"/>
        <x:v>Pendiente</x:v>
      </x:c>
    </x:row>
    <x:row r="118">
      <x:c r="A118" s="6" t="str">
        <x:v>1.07</x:v>
      </x:c>
      <x:c r="B118" s="6" t="str">
        <x:v>TRANSVERSAL</x:v>
      </x:c>
      <x:c r="C118" s="6" t="str">
        <x:v>Acordar equipo IT DIARCO y cobertura</x:v>
      </x:c>
      <x:c r="D118" s="6" t="str">
        <x:v>Enlace de Dirección confirma responsable operativo IT, suplente, horas y ventanas.</x:v>
      </x:c>
      <x:c r="E118" s="11" t="str">
        <x:v>CIO</x:v>
      </x:c>
      <x:c r="F118" s="11" t="str">
        <x:v>SP</x:v>
      </x:c>
      <x:c r="G118" s="6" t="str">
        <x:v>1.02;1.04</x:v>
      </x:c>
      <x:c r="H118" s="6" t="str">
        <x:v>Antes de G0</x:v>
      </x:c>
      <x:c r="I118" s="6" t="str">
        <x:v>Nombre, facultades, disponibilidad y cobertura IT aceptados.</x:v>
      </x:c>
      <x:c r="J118" s="41" t="str">
        <x:v>Propuesto</x:v>
      </x:c>
      <x:c r="K118" s="41" t="str"/>
      <x:c r="L118" s="43"/>
      <x:c r="M118" s="41" t="str"/>
      <x:c r="N118" s="41" t="str"/>
      <x:c r="O118" s="43"/>
      <x:c r="P118" s="6" t="str">
        <x:f>IF(J118="Cerrado",IF(AND(K118&lt;&gt;"",M118&lt;&gt;"",N118&lt;&gt;"",ISNUMBER(O118)),"Cierre documentado","Falta evidencia o aceptación"),"Pendiente")</x:f>
        <x:v>Pendiente</x:v>
      </x:c>
    </x:row>
    <x:row r="119">
      <x:c r="A119" s="6" t="str">
        <x:v>1.08</x:v>
      </x:c>
      <x:c r="B119" s="6" t="str">
        <x:v>TRANSVERSAL</x:v>
      </x:c>
      <x:c r="C119" s="6" t="str">
        <x:v>Asignar titular técnico L2 por circuito</x:v>
      </x:c>
      <x:c r="D119" s="6" t="str">
        <x:v>Alejandro Ledesma / Eduardo Ettlin acuerdan titular y respaldo técnico por integración y ventana.</x:v>
      </x:c>
      <x:c r="E119" s="11" t="str">
        <x:v>ZT</x:v>
      </x:c>
      <x:c r="F119" s="11" t="str">
        <x:v>LZ</x:v>
      </x:c>
      <x:c r="G119" s="6" t="str">
        <x:v>1.04</x:v>
      </x:c>
      <x:c r="H119" s="6" t="str">
        <x:v>Antes de cada paralelo</x:v>
      </x:c>
      <x:c r="I119" s="6" t="str">
        <x:v>Matriz de cobertura técnica y escalación validada por LZ.</x:v>
      </x:c>
      <x:c r="J119" s="41" t="str">
        <x:v>Propuesto</x:v>
      </x:c>
      <x:c r="K119" s="41" t="str"/>
      <x:c r="L119" s="43"/>
      <x:c r="M119" s="41" t="str"/>
      <x:c r="N119" s="41" t="str"/>
      <x:c r="O119" s="43"/>
      <x:c r="P119" s="6" t="str">
        <x:f>IF(J119="Cerrado",IF(AND(K119&lt;&gt;"",M119&lt;&gt;"",N119&lt;&gt;"",ISNUMBER(O119)),"Cierre documentado","Falta evidencia o aceptación"),"Pendiente")</x:f>
        <x:v>Pendiente</x:v>
      </x:c>
    </x:row>
    <x:row r="120">
      <x:c r="A120" s="45" t="str">
        <x:v>2.20</x:v>
      </x:c>
      <x:c r="B120" s="6" t="str">
        <x:v>TRANSVERSAL</x:v>
      </x:c>
      <x:c r="C120" s="6" t="str">
        <x:v>Planificar formación y adopción por módulo</x:v>
      </x:c>
      <x:c r="D120" s="6" t="str">
        <x:v>Pablo Duplessy coordina agenda, población, materiales, práctica y responsables de evaluación.</x:v>
      </x:c>
      <x:c r="E120" s="11" t="str">
        <x:v>CMZ</x:v>
      </x:c>
      <x:c r="F120" s="11" t="str">
        <x:v>LZ</x:v>
      </x:c>
      <x:c r="G120" s="6" t="str">
        <x:v>1.03;1.05</x:v>
      </x:c>
      <x:c r="H120" s="6" t="str">
        <x:v>Antes del paralelo de cada módulo</x:v>
      </x:c>
      <x:c r="I120" s="6" t="str">
        <x:v>Plan por módulo con convocatoria, titular, suplente y práctica prevista.</x:v>
      </x:c>
      <x:c r="J120" s="41" t="str">
        <x:v>Propuesto</x:v>
      </x:c>
      <x:c r="K120" s="41" t="str"/>
      <x:c r="L120" s="43"/>
      <x:c r="M120" s="41" t="str"/>
      <x:c r="N120" s="41" t="str"/>
      <x:c r="O120" s="43"/>
      <x:c r="P120" s="6" t="str">
        <x:f>IF(J120="Cerrado",IF(AND(K120&lt;&gt;"",M120&lt;&gt;"",N120&lt;&gt;"",ISNUMBER(O120)),"Cierre documentado","Falta evidencia o aceptación"),"Pendiente")</x:f>
        <x:v>Pendiente</x:v>
      </x:c>
    </x:row>
    <x:row r="121">
      <x:c r="A121" s="6" t="str">
        <x:v>2.21</x:v>
      </x:c>
      <x:c r="B121" s="6" t="str">
        <x:v>TRANSVERSAL</x:v>
      </x:c>
      <x:c r="C121" s="6" t="str">
        <x:v>Preparar seguimiento de competencia y adopción</x:v>
      </x:c>
      <x:c r="D121" s="6" t="str">
        <x:v>Registro de aptitud, brechas, repruebas, consultas y acciones por población.</x:v>
      </x:c>
      <x:c r="E121" s="11" t="str">
        <x:v>CMZ</x:v>
      </x:c>
      <x:c r="F121" s="11" t="str">
        <x:v>LZ</x:v>
      </x:c>
      <x:c r="G121" s="6" t="str">
        <x:v>2.20</x:v>
      </x:c>
      <x:c r="H121" s="6" t="str">
        <x:v>Antes de G1 y por oleada</x:v>
      </x:c>
      <x:c r="I121" s="6" t="str">
        <x:v>Instrumentos acordados; asistencia y competencia se registran por separado.</x:v>
      </x:c>
      <x:c r="J121" s="41" t="str">
        <x:v>Propuesto</x:v>
      </x:c>
      <x:c r="K121" s="41" t="str"/>
      <x:c r="L121" s="43"/>
      <x:c r="M121" s="41" t="str"/>
      <x:c r="N121" s="41" t="str"/>
      <x:c r="O121" s="43"/>
      <x:c r="P121" s="6" t="str">
        <x:f>IF(J121="Cerrado",IF(AND(K121&lt;&gt;"",M121&lt;&gt;"",N121&lt;&gt;"",ISNUMBER(O121)),"Cierre documentado","Falta evidencia o aceptación"),"Pendiente")</x:f>
        <x:v>Pendiente</x:v>
      </x:c>
    </x:row>
  </x:sheetData>
  <x:conditionalFormatting sqref="J6:J117">
    <x:cfRule type="containsText" dxfId="4" priority="2" operator="containsText" text="Bloqueado"/>
  </x:conditionalFormatting>
  <x:conditionalFormatting sqref="P6:P117">
    <x:cfRule type="containsText" dxfId="3" priority="1" operator="containsText" text="Falta"/>
  </x:conditionalFormatting>
  <x:dataValidations count="1">
    <x:dataValidation type="list" sqref="J6:J117">
      <x:formula1>"Propuesto,En curso,Bloqueado,Cerrado,Diferido"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01b283e088488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2" customWidth="1"/>
    <x:col min="2" max="2" width="35.25" customWidth="1"/>
    <x:col min="3" max="13" width="10" customWidth="1"/>
    <x:col min="14" max="14" width="12" hidden="0" customWidth="1"/>
    <x:col min="15" max="15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.950000762939453" customHeight="1">
      <x:c r="A2" s="2" t="s">
        <x:v>468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0.100000381469727" customHeight="1">
      <x:c r="A3" s="3" t="s">
        <x:v>469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0" customHeight="1">
      <x:c r="A5" s="4" t="s">
        <x:v>26</x:v>
      </x:c>
      <x:c r="B5" s="4" t="s">
        <x:v>87</x:v>
      </x:c>
      <x:c r="C5" s="4" t="s">
        <x:v>105</x:v>
      </x:c>
      <x:c r="D5" s="4" t="s">
        <x:v>112</x:v>
      </x:c>
      <x:c r="E5" s="4" t="s">
        <x:v>139</x:v>
      </x:c>
      <x:c r="F5" s="4" t="s">
        <x:v>138</x:v>
      </x:c>
      <x:c r="G5" s="4" t="s">
        <x:v>470</x:v>
      </x:c>
      <x:c r="H5" s="4" t="s">
        <x:v>171</x:v>
      </x:c>
      <x:c r="I5" s="4" t="s">
        <x:v>145</x:v>
      </x:c>
      <x:c r="J5" s="4" t="s">
        <x:v>104</x:v>
      </x:c>
      <x:c r="K5" s="4" t="s">
        <x:v>255</x:v>
      </x:c>
      <x:c r="L5" s="4" t="s">
        <x:v>176</x:v>
      </x:c>
      <x:c r="M5" s="4" t="s">
        <x:v>471</x:v>
      </x:c>
      <x:c r="N5" s="31" t="str">
        <x:v>CIO</x:v>
      </x:c>
      <x:c r="O5" s="31" t="str">
        <x:v>CMZ</x:v>
      </x:c>
    </x:row>
    <x:row r="6" ht="27.950000762939453" customHeight="1">
      <x:c r="A6" s="18" t="s">
        <x:v>472</x:v>
      </x:c>
      <x:c r="B6" s="18" t="s">
        <x:v>473</x:v>
      </x:c>
      <x:c r="C6" s="21" t="s">
        <x:v>90</x:v>
      </x:c>
      <x:c r="D6" s="21" t="s">
        <x:v>89</x:v>
      </x:c>
      <x:c r="E6" s="21" t="s">
        <x:v>474</x:v>
      </x:c>
      <x:c r="F6" s="21"/>
      <x:c r="G6" s="21"/>
      <x:c r="H6" s="21" t="s">
        <x:v>474</x:v>
      </x:c>
      <x:c r="I6" s="21" t="s">
        <x:v>474</x:v>
      </x:c>
      <x:c r="J6" s="21" t="s">
        <x:v>474</x:v>
      </x:c>
      <x:c r="K6" s="21"/>
      <x:c r="L6" s="21"/>
      <x:c r="M6" s="21"/>
      <x:c r="N6" s="33" t="str">
        <x:v>R</x:v>
      </x:c>
      <x:c r="O6" s="33" t="str">
        <x:v>I</x:v>
      </x:c>
    </x:row>
    <x:row r="7" ht="27.950000762939453" customHeight="1">
      <x:c r="A7" s="19" t="s">
        <x:v>475</x:v>
      </x:c>
      <x:c r="B7" s="19" t="s">
        <x:v>476</x:v>
      </x:c>
      <x:c r="C7" s="20" t="s">
        <x:v>90</x:v>
      </x:c>
      <x:c r="D7" s="20" t="s">
        <x:v>89</x:v>
      </x:c>
      <x:c r="E7" s="20" t="s">
        <x:v>474</x:v>
      </x:c>
      <x:c r="F7" s="20" t="s">
        <x:v>477</x:v>
      </x:c>
      <x:c r="G7" s="20"/>
      <x:c r="H7" s="20" t="s">
        <x:v>477</x:v>
      </x:c>
      <x:c r="I7" s="20" t="s">
        <x:v>477</x:v>
      </x:c>
      <x:c r="J7" s="20" t="s">
        <x:v>89</x:v>
      </x:c>
      <x:c r="K7" s="20" t="s">
        <x:v>474</x:v>
      </x:c>
      <x:c r="L7" s="20" t="s">
        <x:v>474</x:v>
      </x:c>
      <x:c r="M7" s="20"/>
      <x:c r="N7" s="34" t="str">
        <x:v>C</x:v>
      </x:c>
      <x:c r="O7" s="34" t="str">
        <x:v>I</x:v>
      </x:c>
    </x:row>
    <x:row r="8" ht="27.950000762939453" customHeight="1">
      <x:c r="A8" s="18" t="s">
        <x:v>478</x:v>
      </x:c>
      <x:c r="B8" s="18" t="s">
        <x:v>479</x:v>
      </x:c>
      <x:c r="C8" s="21"/>
      <x:c r="D8" s="21" t="s">
        <x:v>477</x:v>
      </x:c>
      <x:c r="E8" s="21" t="s">
        <x:v>90</x:v>
      </x:c>
      <x:c r="F8" s="21" t="s">
        <x:v>89</x:v>
      </x:c>
      <x:c r="G8" s="21"/>
      <x:c r="H8" s="21"/>
      <x:c r="I8" s="21" t="s">
        <x:v>474</x:v>
      </x:c>
      <x:c r="J8" s="21" t="s">
        <x:v>477</x:v>
      </x:c>
      <x:c r="K8" s="21" t="s">
        <x:v>474</x:v>
      </x:c>
      <x:c r="L8" s="21"/>
      <x:c r="M8" s="21"/>
      <x:c r="N8" s="33" t="str">
        <x:v>I</x:v>
      </x:c>
      <x:c r="O8" s="33" t="str">
        <x:v>I</x:v>
      </x:c>
    </x:row>
    <x:row r="9" ht="27.950000762939453" customHeight="1">
      <x:c r="A9" s="19" t="s">
        <x:v>480</x:v>
      </x:c>
      <x:c r="B9" s="19" t="s">
        <x:v>481</x:v>
      </x:c>
      <x:c r="C9" s="20"/>
      <x:c r="D9" s="20" t="s">
        <x:v>477</x:v>
      </x:c>
      <x:c r="E9" s="20" t="s">
        <x:v>477</x:v>
      </x:c>
      <x:c r="F9" s="20" t="s">
        <x:v>474</x:v>
      </x:c>
      <x:c r="G9" s="20"/>
      <x:c r="H9" s="20"/>
      <x:c r="I9" s="20" t="s">
        <x:v>474</x:v>
      </x:c>
      <x:c r="J9" s="20" t="s">
        <x:v>90</x:v>
      </x:c>
      <x:c r="K9" s="20" t="s">
        <x:v>89</x:v>
      </x:c>
      <x:c r="L9" s="20" t="s">
        <x:v>89</x:v>
      </x:c>
      <x:c r="M9" s="20"/>
      <x:c r="N9" s="34" t="str">
        <x:v>I</x:v>
      </x:c>
      <x:c r="O9" s="34" t="str">
        <x:v>I</x:v>
      </x:c>
    </x:row>
    <x:row r="10" ht="27.950000762939453" customHeight="1">
      <x:c r="A10" s="18" t="s">
        <x:v>482</x:v>
      </x:c>
      <x:c r="B10" s="18" t="s">
        <x:v>483</x:v>
      </x:c>
      <x:c r="C10" s="21"/>
      <x:c r="D10" s="21" t="s">
        <x:v>477</x:v>
      </x:c>
      <x:c r="E10" s="21"/>
      <x:c r="F10" s="21" t="s">
        <x:v>474</x:v>
      </x:c>
      <x:c r="G10" s="21"/>
      <x:c r="H10" s="21" t="s">
        <x:v>474</x:v>
      </x:c>
      <x:c r="I10" s="21" t="s">
        <x:v>484</x:v>
      </x:c>
      <x:c r="J10" s="21" t="s">
        <x:v>477</x:v>
      </x:c>
      <x:c r="K10" s="21"/>
      <x:c r="L10" s="21" t="s">
        <x:v>474</x:v>
      </x:c>
      <x:c r="M10" s="21"/>
      <x:c r="N10" s="33" t="str">
        <x:v>C</x:v>
      </x:c>
      <x:c r="O10" s="33" t="str">
        <x:v>I</x:v>
      </x:c>
    </x:row>
    <x:row r="11" ht="27.950000762939453" customHeight="1">
      <x:c r="A11" s="19" t="s">
        <x:v>485</x:v>
      </x:c>
      <x:c r="B11" s="19" t="s">
        <x:v>486</x:v>
      </x:c>
      <x:c r="C11" s="20"/>
      <x:c r="D11" s="20" t="s">
        <x:v>477</x:v>
      </x:c>
      <x:c r="E11" s="20" t="s">
        <x:v>90</x:v>
      </x:c>
      <x:c r="F11" s="20" t="s">
        <x:v>89</x:v>
      </x:c>
      <x:c r="G11" s="20"/>
      <x:c r="H11" s="20"/>
      <x:c r="I11" s="20" t="s">
        <x:v>474</x:v>
      </x:c>
      <x:c r="J11" s="20" t="s">
        <x:v>477</x:v>
      </x:c>
      <x:c r="K11" s="20" t="s">
        <x:v>474</x:v>
      </x:c>
      <x:c r="L11" s="20" t="s">
        <x:v>474</x:v>
      </x:c>
      <x:c r="M11" s="20"/>
      <x:c r="N11" s="34" t="str">
        <x:v>C</x:v>
      </x:c>
      <x:c r="O11" s="34" t="str">
        <x:v>I</x:v>
      </x:c>
    </x:row>
    <x:row r="12" ht="27.950000762939453" customHeight="1">
      <x:c r="A12" s="18" t="s">
        <x:v>487</x:v>
      </x:c>
      <x:c r="B12" s="18" t="s">
        <x:v>488</x:v>
      </x:c>
      <x:c r="C12" s="21"/>
      <x:c r="D12" s="21" t="s">
        <x:v>477</x:v>
      </x:c>
      <x:c r="E12" s="21" t="s">
        <x:v>477</x:v>
      </x:c>
      <x:c r="F12" s="21" t="s">
        <x:v>474</x:v>
      </x:c>
      <x:c r="G12" s="21"/>
      <x:c r="H12" s="21" t="s">
        <x:v>474</x:v>
      </x:c>
      <x:c r="I12" s="21" t="s">
        <x:v>474</x:v>
      </x:c>
      <x:c r="J12" s="21" t="s">
        <x:v>90</x:v>
      </x:c>
      <x:c r="K12" s="21" t="s">
        <x:v>89</x:v>
      </x:c>
      <x:c r="L12" s="21"/>
      <x:c r="M12" s="21"/>
      <x:c r="N12" s="33" t="str">
        <x:v>I</x:v>
      </x:c>
      <x:c r="O12" s="33" t="str">
        <x:v>R</x:v>
      </x:c>
    </x:row>
    <x:row r="13" ht="27.950000762939453" customHeight="1">
      <x:c r="A13" s="19" t="s">
        <x:v>489</x:v>
      </x:c>
      <x:c r="B13" s="19" t="s">
        <x:v>490</x:v>
      </x:c>
      <x:c r="C13" s="20"/>
      <x:c r="D13" s="20" t="s">
        <x:v>477</x:v>
      </x:c>
      <x:c r="E13" s="20" t="s">
        <x:v>90</x:v>
      </x:c>
      <x:c r="F13" s="20" t="s">
        <x:v>89</x:v>
      </x:c>
      <x:c r="G13" s="20" t="s">
        <x:v>89</x:v>
      </x:c>
      <x:c r="H13" s="20" t="s">
        <x:v>474</x:v>
      </x:c>
      <x:c r="I13" s="20"/>
      <x:c r="J13" s="20" t="s">
        <x:v>477</x:v>
      </x:c>
      <x:c r="K13" s="20" t="s">
        <x:v>474</x:v>
      </x:c>
      <x:c r="L13" s="20"/>
      <x:c r="M13" s="20"/>
      <x:c r="N13" s="34" t="str">
        <x:v>I</x:v>
      </x:c>
      <x:c r="O13" s="34" t="str">
        <x:v>C</x:v>
      </x:c>
    </x:row>
    <x:row r="14" ht="27.950000762939453" customHeight="1">
      <x:c r="A14" s="18" t="s">
        <x:v>491</x:v>
      </x:c>
      <x:c r="B14" s="18" t="s">
        <x:v>492</x:v>
      </x:c>
      <x:c r="C14" s="21"/>
      <x:c r="D14" s="21" t="s">
        <x:v>477</x:v>
      </x:c>
      <x:c r="E14" s="21" t="s">
        <x:v>90</x:v>
      </x:c>
      <x:c r="F14" s="21" t="s">
        <x:v>89</x:v>
      </x:c>
      <x:c r="G14" s="21" t="s">
        <x:v>89</x:v>
      </x:c>
      <x:c r="H14" s="21"/>
      <x:c r="I14" s="21" t="s">
        <x:v>474</x:v>
      </x:c>
      <x:c r="J14" s="21" t="s">
        <x:v>477</x:v>
      </x:c>
      <x:c r="K14" s="21" t="s">
        <x:v>474</x:v>
      </x:c>
      <x:c r="L14" s="21" t="s">
        <x:v>474</x:v>
      </x:c>
      <x:c r="M14" s="21"/>
      <x:c r="N14" s="33" t="str">
        <x:v>I</x:v>
      </x:c>
      <x:c r="O14" s="33" t="str">
        <x:v>C</x:v>
      </x:c>
    </x:row>
    <x:row r="15" ht="27.950000762939453" customHeight="1">
      <x:c r="A15" s="19" t="s">
        <x:v>493</x:v>
      </x:c>
      <x:c r="B15" s="19" t="s">
        <x:v>494</x:v>
      </x:c>
      <x:c r="C15" s="20"/>
      <x:c r="D15" s="20" t="s">
        <x:v>477</x:v>
      </x:c>
      <x:c r="E15" s="20" t="s">
        <x:v>477</x:v>
      </x:c>
      <x:c r="F15" s="20" t="s">
        <x:v>474</x:v>
      </x:c>
      <x:c r="G15" s="20"/>
      <x:c r="H15" s="20" t="s">
        <x:v>477</x:v>
      </x:c>
      <x:c r="I15" s="20" t="s">
        <x:v>474</x:v>
      </x:c>
      <x:c r="J15" s="20" t="s">
        <x:v>90</x:v>
      </x:c>
      <x:c r="K15" s="20" t="s">
        <x:v>474</x:v>
      </x:c>
      <x:c r="L15" s="20" t="s">
        <x:v>89</x:v>
      </x:c>
      <x:c r="M15" s="20"/>
      <x:c r="N15" s="34" t="str">
        <x:v>I</x:v>
      </x:c>
      <x:c r="O15" s="34" t="str">
        <x:v>I</x:v>
      </x:c>
    </x:row>
    <x:row r="16" ht="27.950000762939453" customHeight="1">
      <x:c r="A16" s="18" t="s">
        <x:v>495</x:v>
      </x:c>
      <x:c r="B16" s="18" t="s">
        <x:v>496</x:v>
      </x:c>
      <x:c r="C16" s="21"/>
      <x:c r="D16" s="21" t="s">
        <x:v>477</x:v>
      </x:c>
      <x:c r="E16" s="21" t="s">
        <x:v>90</x:v>
      </x:c>
      <x:c r="F16" s="21" t="s">
        <x:v>89</x:v>
      </x:c>
      <x:c r="G16" s="21" t="s">
        <x:v>89</x:v>
      </x:c>
      <x:c r="H16" s="21" t="s">
        <x:v>474</x:v>
      </x:c>
      <x:c r="I16" s="21" t="s">
        <x:v>474</x:v>
      </x:c>
      <x:c r="J16" s="21" t="s">
        <x:v>477</x:v>
      </x:c>
      <x:c r="K16" s="21" t="s">
        <x:v>474</x:v>
      </x:c>
      <x:c r="L16" s="21"/>
      <x:c r="M16" s="21"/>
      <x:c r="N16" s="33" t="str">
        <x:v>I</x:v>
      </x:c>
      <x:c r="O16" s="33" t="str">
        <x:v>C</x:v>
      </x:c>
    </x:row>
    <x:row r="17" ht="27.950000762939453" customHeight="1">
      <x:c r="A17" s="19" t="s">
        <x:v>497</x:v>
      </x:c>
      <x:c r="B17" s="19" t="s">
        <x:v>498</x:v>
      </x:c>
      <x:c r="C17" s="20" t="s">
        <x:v>90</x:v>
      </x:c>
      <x:c r="D17" s="20" t="s">
        <x:v>89</x:v>
      </x:c>
      <x:c r="E17" s="20" t="s">
        <x:v>474</x:v>
      </x:c>
      <x:c r="F17" s="20" t="s">
        <x:v>477</x:v>
      </x:c>
      <x:c r="G17" s="20" t="s">
        <x:v>477</x:v>
      </x:c>
      <x:c r="H17" s="20" t="s">
        <x:v>474</x:v>
      </x:c>
      <x:c r="I17" s="20" t="s">
        <x:v>474</x:v>
      </x:c>
      <x:c r="J17" s="20" t="s">
        <x:v>89</x:v>
      </x:c>
      <x:c r="K17" s="20"/>
      <x:c r="L17" s="20" t="s">
        <x:v>474</x:v>
      </x:c>
      <x:c r="M17" s="20"/>
      <x:c r="N17" s="34" t="str">
        <x:v>C</x:v>
      </x:c>
      <x:c r="O17" s="34" t="str">
        <x:v>C</x:v>
      </x:c>
    </x:row>
    <x:row r="18" ht="27.950000762939453" customHeight="1">
      <x:c r="A18" s="18" t="s">
        <x:v>499</x:v>
      </x:c>
      <x:c r="B18" s="18" t="s">
        <x:v>500</x:v>
      </x:c>
      <x:c r="C18" s="21"/>
      <x:c r="D18" s="21" t="s">
        <x:v>474</x:v>
      </x:c>
      <x:c r="E18" s="21" t="s">
        <x:v>477</x:v>
      </x:c>
      <x:c r="F18" s="21" t="s">
        <x:v>474</x:v>
      </x:c>
      <x:c r="G18" s="21"/>
      <x:c r="H18" s="21" t="s">
        <x:v>477</x:v>
      </x:c>
      <x:c r="I18" s="21" t="s">
        <x:v>484</x:v>
      </x:c>
      <x:c r="J18" s="21" t="s">
        <x:v>474</x:v>
      </x:c>
      <x:c r="K18" s="21"/>
      <x:c r="L18" s="21" t="s">
        <x:v>89</x:v>
      </x:c>
      <x:c r="M18" s="21" t="s">
        <x:v>474</x:v>
      </x:c>
      <x:c r="N18" s="33" t="str">
        <x:v>C</x:v>
      </x:c>
      <x:c r="O18" s="33" t="str">
        <x:v>I</x:v>
      </x:c>
    </x:row>
    <x:row r="19" ht="27.950000762939453" customHeight="1">
      <x:c r="A19" s="19" t="s">
        <x:v>501</x:v>
      </x:c>
      <x:c r="B19" s="19" t="s">
        <x:v>502</x:v>
      </x:c>
      <x:c r="C19" s="20" t="s">
        <x:v>90</x:v>
      </x:c>
      <x:c r="D19" s="20" t="s">
        <x:v>89</x:v>
      </x:c>
      <x:c r="E19" s="20" t="s">
        <x:v>474</x:v>
      </x:c>
      <x:c r="F19" s="20" t="s">
        <x:v>477</x:v>
      </x:c>
      <x:c r="G19" s="20" t="s">
        <x:v>477</x:v>
      </x:c>
      <x:c r="H19" s="20" t="s">
        <x:v>474</x:v>
      </x:c>
      <x:c r="I19" s="20" t="s">
        <x:v>89</x:v>
      </x:c>
      <x:c r="J19" s="20" t="s">
        <x:v>89</x:v>
      </x:c>
      <x:c r="K19" s="20"/>
      <x:c r="L19" s="20" t="s">
        <x:v>474</x:v>
      </x:c>
      <x:c r="M19" s="20"/>
      <x:c r="N19" s="34" t="str">
        <x:v>C</x:v>
      </x:c>
      <x:c r="O19" s="34" t="str">
        <x:v>I</x:v>
      </x:c>
    </x:row>
    <x:row r="20" ht="27.950000762939453" customHeight="1">
      <x:c r="A20" s="18" t="s">
        <x:v>503</x:v>
      </x:c>
      <x:c r="B20" s="18" t="s">
        <x:v>504</x:v>
      </x:c>
      <x:c r="C20" s="21"/>
      <x:c r="D20" s="21" t="s">
        <x:v>477</x:v>
      </x:c>
      <x:c r="E20" s="21"/>
      <x:c r="F20" s="21" t="s">
        <x:v>474</x:v>
      </x:c>
      <x:c r="G20" s="21"/>
      <x:c r="H20" s="21" t="s">
        <x:v>484</x:v>
      </x:c>
      <x:c r="I20" s="21" t="s">
        <x:v>474</x:v>
      </x:c>
      <x:c r="J20" s="21"/>
      <x:c r="K20" s="21"/>
      <x:c r="L20" s="21"/>
      <x:c r="M20" s="21"/>
      <x:c r="N20" s="33" t="str">
        <x:v>I</x:v>
      </x:c>
      <x:c r="O20" s="33" t="str">
        <x:v>C</x:v>
      </x:c>
    </x:row>
    <x:row r="21" ht="27.950000762939453" customHeight="1">
      <x:c r="A21" s="19" t="s">
        <x:v>505</x:v>
      </x:c>
      <x:c r="B21" s="19" t="s">
        <x:v>506</x:v>
      </x:c>
      <x:c r="C21" s="20"/>
      <x:c r="D21" s="20"/>
      <x:c r="E21" s="20" t="s">
        <x:v>90</x:v>
      </x:c>
      <x:c r="F21" s="20" t="s">
        <x:v>89</x:v>
      </x:c>
      <x:c r="G21" s="20" t="s">
        <x:v>477</x:v>
      </x:c>
      <x:c r="H21" s="20" t="s">
        <x:v>474</x:v>
      </x:c>
      <x:c r="I21" s="20"/>
      <x:c r="J21" s="20"/>
      <x:c r="K21" s="20" t="s">
        <x:v>474</x:v>
      </x:c>
      <x:c r="L21" s="20"/>
      <x:c r="M21" s="20"/>
      <x:c r="N21" s="34" t="str">
        <x:v>I</x:v>
      </x:c>
      <x:c r="O21" s="34" t="str">
        <x:v>C</x:v>
      </x:c>
    </x:row>
    <x:row r="22" ht="27.950000762939453" customHeight="1">
      <x:c r="A22" s="18" t="s">
        <x:v>507</x:v>
      </x:c>
      <x:c r="B22" s="18" t="s">
        <x:v>508</x:v>
      </x:c>
      <x:c r="C22" s="21"/>
      <x:c r="D22" s="21" t="s">
        <x:v>477</x:v>
      </x:c>
      <x:c r="E22" s="21"/>
      <x:c r="F22" s="21"/>
      <x:c r="G22" s="21"/>
      <x:c r="H22" s="21" t="s">
        <x:v>474</x:v>
      </x:c>
      <x:c r="I22" s="21" t="s">
        <x:v>484</x:v>
      </x:c>
      <x:c r="J22" s="21" t="s">
        <x:v>477</x:v>
      </x:c>
      <x:c r="K22" s="21"/>
      <x:c r="L22" s="21" t="s">
        <x:v>474</x:v>
      </x:c>
      <x:c r="M22" s="21" t="s">
        <x:v>474</x:v>
      </x:c>
      <x:c r="N22" s="33" t="str">
        <x:v>C</x:v>
      </x:c>
      <x:c r="O22" s="33" t="str">
        <x:v>I</x:v>
      </x:c>
    </x:row>
    <x:row r="23" ht="27.950000762939453" customHeight="1">
      <x:c r="A23" s="19" t="s">
        <x:v>509</x:v>
      </x:c>
      <x:c r="B23" s="19" t="s">
        <x:v>510</x:v>
      </x:c>
      <x:c r="C23" s="20"/>
      <x:c r="D23" s="20" t="s">
        <x:v>477</x:v>
      </x:c>
      <x:c r="E23" s="20" t="s">
        <x:v>477</x:v>
      </x:c>
      <x:c r="F23" s="20" t="s">
        <x:v>474</x:v>
      </x:c>
      <x:c r="G23" s="20"/>
      <x:c r="H23" s="20" t="s">
        <x:v>474</x:v>
      </x:c>
      <x:c r="I23" s="20" t="s">
        <x:v>474</x:v>
      </x:c>
      <x:c r="J23" s="20" t="s">
        <x:v>90</x:v>
      </x:c>
      <x:c r="K23" s="20" t="s">
        <x:v>474</x:v>
      </x:c>
      <x:c r="L23" s="20" t="s">
        <x:v>89</x:v>
      </x:c>
      <x:c r="M23" s="20"/>
      <x:c r="N23" s="34" t="str">
        <x:v>C</x:v>
      </x:c>
      <x:c r="O23" s="34" t="str">
        <x:v>I</x:v>
      </x:c>
    </x:row>
    <x:row r="24" ht="27.950000762939453" customHeight="1">
      <x:c r="A24" s="18" t="s">
        <x:v>511</x:v>
      </x:c>
      <x:c r="B24" s="18" t="s">
        <x:v>512</x:v>
      </x:c>
      <x:c r="C24" s="21"/>
      <x:c r="D24" s="21" t="s">
        <x:v>474</x:v>
      </x:c>
      <x:c r="E24" s="21" t="s">
        <x:v>90</x:v>
      </x:c>
      <x:c r="F24" s="21" t="s">
        <x:v>89</x:v>
      </x:c>
      <x:c r="G24" s="21"/>
      <x:c r="H24" s="21" t="s">
        <x:v>477</x:v>
      </x:c>
      <x:c r="I24" s="21" t="s">
        <x:v>477</x:v>
      </x:c>
      <x:c r="J24" s="21"/>
      <x:c r="K24" s="21" t="s">
        <x:v>474</x:v>
      </x:c>
      <x:c r="L24" s="21"/>
      <x:c r="M24" s="21"/>
      <x:c r="N24" s="33" t="str">
        <x:v>I</x:v>
      </x:c>
      <x:c r="O24" s="33" t="str">
        <x:v>R</x:v>
      </x:c>
    </x:row>
    <x:row r="25" ht="27.950000762939453" customHeight="1">
      <x:c r="A25" s="19" t="s">
        <x:v>513</x:v>
      </x:c>
      <x:c r="B25" s="19" t="s">
        <x:v>514</x:v>
      </x:c>
      <x:c r="C25" s="20" t="s">
        <x:v>90</x:v>
      </x:c>
      <x:c r="D25" s="20" t="s">
        <x:v>89</x:v>
      </x:c>
      <x:c r="E25" s="20" t="s">
        <x:v>474</x:v>
      </x:c>
      <x:c r="F25" s="20" t="s">
        <x:v>474</x:v>
      </x:c>
      <x:c r="G25" s="20" t="s">
        <x:v>477</x:v>
      </x:c>
      <x:c r="H25" s="20" t="s">
        <x:v>474</x:v>
      </x:c>
      <x:c r="I25" s="20" t="s">
        <x:v>474</x:v>
      </x:c>
      <x:c r="J25" s="20" t="s">
        <x:v>89</x:v>
      </x:c>
      <x:c r="K25" s="20"/>
      <x:c r="L25" s="20"/>
      <x:c r="M25" s="20"/>
      <x:c r="N25" s="34" t="str">
        <x:v>C</x:v>
      </x:c>
      <x:c r="O25" s="34" t="str">
        <x:v>C</x:v>
      </x:c>
    </x:row>
    <x:row r="26" ht="27.950000762939453" customHeight="1">
      <x:c r="A26" s="18" t="s">
        <x:v>515</x:v>
      </x:c>
      <x:c r="B26" s="18" t="s">
        <x:v>516</x:v>
      </x:c>
      <x:c r="C26" s="21" t="s">
        <x:v>477</x:v>
      </x:c>
      <x:c r="D26" s="21" t="s">
        <x:v>474</x:v>
      </x:c>
      <x:c r="E26" s="21" t="s">
        <x:v>474</x:v>
      </x:c>
      <x:c r="F26" s="21" t="s">
        <x:v>474</x:v>
      </x:c>
      <x:c r="G26" s="21"/>
      <x:c r="H26" s="21" t="s">
        <x:v>474</x:v>
      </x:c>
      <x:c r="I26" s="21" t="s">
        <x:v>474</x:v>
      </x:c>
      <x:c r="J26" s="21" t="s">
        <x:v>90</x:v>
      </x:c>
      <x:c r="K26" s="21" t="s">
        <x:v>89</x:v>
      </x:c>
      <x:c r="L26" s="21" t="s">
        <x:v>89</x:v>
      </x:c>
      <x:c r="M26" s="21"/>
      <x:c r="N26" s="33" t="str">
        <x:v>I</x:v>
      </x:c>
      <x:c r="O26" s="33" t="str">
        <x:v>R</x:v>
      </x:c>
    </x:row>
    <x:row r="27" ht="34" customHeight="1">
      <x:c r="A27" s="37" t="str">
        <x:v>RC22</x:v>
      </x:c>
      <x:c r="B27" s="37" t="str">
        <x:v>Asignar equipo IT DIARCO y cobertura</x:v>
      </x:c>
      <x:c r="C27" s="37" t="str">
        <x:v>A</x:v>
      </x:c>
      <x:c r="D27" s="37" t="str">
        <x:v>R</x:v>
      </x:c>
      <x:c r="E27" s="37" t="str">
        <x:v>I</x:v>
      </x:c>
      <x:c r="F27" s="37" t="str">
        <x:v>I</x:v>
      </x:c>
      <x:c r="G27" s="37" t="str">
        <x:v>I</x:v>
      </x:c>
      <x:c r="H27" s="37" t="str">
        <x:v>C</x:v>
      </x:c>
      <x:c r="I27" s="37" t="str">
        <x:v>R</x:v>
      </x:c>
      <x:c r="J27" s="37" t="str">
        <x:v>C</x:v>
      </x:c>
      <x:c r="K27" s="37" t="str">
        <x:v>I</x:v>
      </x:c>
      <x:c r="L27" s="37" t="str">
        <x:v>I</x:v>
      </x:c>
      <x:c r="M27" s="37" t="str">
        <x:v>I</x:v>
      </x:c>
      <x:c r="N27" s="38" t="str">
        <x:v>R</x:v>
      </x:c>
      <x:c r="O27" s="38" t="str">
        <x:v>I</x:v>
      </x:c>
    </x:row>
    <x:row r="28" ht="34" customHeight="1">
      <x:c r="A28" s="39" t="str">
        <x:v>RC23</x:v>
      </x:c>
      <x:c r="B28" s="39" t="str">
        <x:v>Planificar formación, prácticas y adopción</x:v>
      </x:c>
      <x:c r="C28" s="39" t="str">
        <x:v>I</x:v>
      </x:c>
      <x:c r="D28" s="39" t="str">
        <x:v>C</x:v>
      </x:c>
      <x:c r="E28" s="39" t="str">
        <x:v>C</x:v>
      </x:c>
      <x:c r="F28" s="39" t="str">
        <x:v>C</x:v>
      </x:c>
      <x:c r="G28" s="39" t="str">
        <x:v>I</x:v>
      </x:c>
      <x:c r="H28" s="39" t="str">
        <x:v>C</x:v>
      </x:c>
      <x:c r="I28" s="39" t="str">
        <x:v>I</x:v>
      </x:c>
      <x:c r="J28" s="39" t="str">
        <x:v>A</x:v>
      </x:c>
      <x:c r="K28" s="39" t="str">
        <x:v>R</x:v>
      </x:c>
      <x:c r="L28" s="39" t="str">
        <x:v>I</x:v>
      </x:c>
      <x:c r="M28" s="39" t="str">
        <x:v>I</x:v>
      </x:c>
      <x:c r="N28" s="40" t="str">
        <x:v>I</x:v>
      </x:c>
      <x:c r="O28" s="40" t="str">
        <x:v>R</x:v>
      </x:c>
    </x:row>
    <x:row r="29" ht="34" customHeight="1">
      <x:c r="A29" s="37" t="str">
        <x:v>RC24</x:v>
      </x:c>
      <x:c r="B29" s="37" t="str">
        <x:v>Acordar titular técnico L2 por circuito</x:v>
      </x:c>
      <x:c r="C29" s="37" t="str">
        <x:v>I</x:v>
      </x:c>
      <x:c r="D29" s="37" t="str">
        <x:v>C</x:v>
      </x:c>
      <x:c r="E29" s="37" t="str">
        <x:v>I</x:v>
      </x:c>
      <x:c r="F29" s="37" t="str">
        <x:v>I</x:v>
      </x:c>
      <x:c r="G29" s="37" t="str">
        <x:v>I</x:v>
      </x:c>
      <x:c r="H29" s="37" t="str">
        <x:v>C</x:v>
      </x:c>
      <x:c r="I29" s="37" t="str">
        <x:v>C</x:v>
      </x:c>
      <x:c r="J29" s="37" t="str">
        <x:v>A</x:v>
      </x:c>
      <x:c r="K29" s="37" t="str">
        <x:v>I</x:v>
      </x:c>
      <x:c r="L29" s="37" t="str">
        <x:v>R</x:v>
      </x:c>
      <x:c r="M29" s="37" t="str">
        <x:v>C</x:v>
      </x:c>
      <x:c r="N29" s="38" t="str">
        <x:v>C</x:v>
      </x:c>
      <x:c r="O29" s="38" t="str">
        <x:v>I</x:v>
      </x:c>
    </x:row>
  </x:sheetData>
  <x:pageMargins left="0.7" right="0.7" top="0.75" bottom="0.75" header="0.3" footer="0.3"/>
  <x:tableParts count="1">
    <x:tablePart xmlns:r="http://schemas.openxmlformats.org/officeDocument/2006/relationships" r:id="Re14695b5d7c745c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4" customWidth="1"/>
    <x:col min="2" max="2" width="12.5" customWidth="1"/>
    <x:col min="3" max="3" width="36.25" customWidth="1"/>
    <x:col min="4" max="4" width="24.5" customWidth="1"/>
    <x:col min="5" max="5" width="48.625" customWidth="1"/>
    <x:col min="6" max="7" width="22" customWidth="1"/>
    <x:col min="8" max="8" width="27" customWidth="1"/>
    <x:col min="9" max="9" width="17" customWidth="1"/>
    <x:col min="10" max="10" width="55" customWidth="1"/>
    <x:col min="11" max="11" width="3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517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518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519</x:v>
      </x:c>
      <x:c r="B5" s="4" t="s">
        <x:v>86</x:v>
      </x:c>
      <x:c r="C5" s="4" t="s">
        <x:v>520</x:v>
      </x:c>
      <x:c r="D5" s="4" t="s">
        <x:v>521</x:v>
      </x:c>
      <x:c r="E5" s="4" t="s">
        <x:v>522</x:v>
      </x:c>
      <x:c r="F5" s="4" t="s">
        <x:v>523</x:v>
      </x:c>
      <x:c r="G5" s="4" t="s">
        <x:v>524</x:v>
      </x:c>
      <x:c r="H5" s="4" t="s">
        <x:v>525</x:v>
      </x:c>
      <x:c r="I5" s="4" t="s">
        <x:v>526</x:v>
      </x:c>
      <x:c r="J5" s="4" t="s">
        <x:v>527</x:v>
      </x:c>
      <x:c r="K5" s="4" t="s">
        <x:v>97</x:v>
      </x:c>
    </x:row>
    <x:row r="6" ht="27.950000762939453" customHeight="1">
      <x:c r="A6" s="13" t="s">
        <x:v>528</x:v>
      </x:c>
      <x:c r="B6" s="13" t="s">
        <x:v>53</x:v>
      </x:c>
      <x:c r="C6" s="13" t="s">
        <x:v>529</x:v>
      </x:c>
      <x:c r="D6" s="13" t="s">
        <x:v>530</x:v>
      </x:c>
      <x:c r="E6" s="13" t="s">
        <x:v>531</x:v>
      </x:c>
      <x:c r="F6" s="13" t="s">
        <x:v>532</x:v>
      </x:c>
      <x:c r="G6" s="7"/>
      <x:c r="H6" s="7"/>
      <x:c r="I6" s="8"/>
      <x:c r="J6" s="7"/>
      <x:c r="K6" s="7"/>
    </x:row>
    <x:row r="7" ht="27.950000762939453" customHeight="1">
      <x:c r="A7" s="16" t="s">
        <x:v>533</x:v>
      </x:c>
      <x:c r="B7" s="16" t="s">
        <x:v>57</x:v>
      </x:c>
      <x:c r="C7" s="16" t="s">
        <x:v>534</x:v>
      </x:c>
      <x:c r="D7" s="16" t="s">
        <x:v>530</x:v>
      </x:c>
      <x:c r="E7" s="16" t="s">
        <x:v>535</x:v>
      </x:c>
      <x:c r="F7" s="16" t="s">
        <x:v>532</x:v>
      </x:c>
      <x:c r="G7" s="7"/>
      <x:c r="H7" s="7"/>
      <x:c r="I7" s="8"/>
      <x:c r="J7" s="7"/>
      <x:c r="K7" s="7"/>
    </x:row>
    <x:row r="8" ht="35.099998474121094" customHeight="1">
      <x:c r="A8" s="13" t="s">
        <x:v>536</x:v>
      </x:c>
      <x:c r="B8" s="13" t="s">
        <x:v>61</x:v>
      </x:c>
      <x:c r="C8" s="13" t="s">
        <x:v>537</x:v>
      </x:c>
      <x:c r="D8" s="13" t="s">
        <x:v>538</x:v>
      </x:c>
      <x:c r="E8" s="13" t="s">
        <x:v>539</x:v>
      </x:c>
      <x:c r="F8" s="13" t="s">
        <x:v>540</x:v>
      </x:c>
      <x:c r="G8" s="7"/>
      <x:c r="H8" s="7"/>
      <x:c r="I8" s="8"/>
      <x:c r="J8" s="7"/>
      <x:c r="K8" s="7"/>
    </x:row>
    <x:row r="9" ht="35.099998474121094" customHeight="1">
      <x:c r="A9" s="16" t="s">
        <x:v>541</x:v>
      </x:c>
      <x:c r="B9" s="16" t="s">
        <x:v>71</x:v>
      </x:c>
      <x:c r="C9" s="16" t="s">
        <x:v>542</x:v>
      </x:c>
      <x:c r="D9" s="16" t="s">
        <x:v>543</x:v>
      </x:c>
      <x:c r="E9" s="16" t="s">
        <x:v>544</x:v>
      </x:c>
      <x:c r="F9" s="16" t="s">
        <x:v>545</x:v>
      </x:c>
      <x:c r="G9" s="7"/>
      <x:c r="H9" s="7"/>
      <x:c r="I9" s="8"/>
      <x:c r="J9" s="7"/>
      <x:c r="K9" s="7"/>
    </x:row>
    <x:row r="10" ht="35.099998474121094" customHeight="1">
      <x:c r="A10" s="13" t="s">
        <x:v>546</x:v>
      </x:c>
      <x:c r="B10" s="13" t="s">
        <x:v>71</x:v>
      </x:c>
      <x:c r="C10" s="13" t="s">
        <x:v>547</x:v>
      </x:c>
      <x:c r="D10" s="13" t="s">
        <x:v>548</x:v>
      </x:c>
      <x:c r="E10" s="13" t="s">
        <x:v>549</x:v>
      </x:c>
      <x:c r="F10" s="13" t="s">
        <x:v>550</x:v>
      </x:c>
      <x:c r="G10" s="7"/>
      <x:c r="H10" s="7"/>
      <x:c r="I10" s="8"/>
      <x:c r="J10" s="7"/>
      <x:c r="K10" s="7"/>
    </x:row>
    <x:row r="11" ht="35.099998474121094" customHeight="1">
      <x:c r="A11" s="16" t="s">
        <x:v>551</x:v>
      </x:c>
      <x:c r="B11" s="16" t="s">
        <x:v>71</x:v>
      </x:c>
      <x:c r="C11" s="16" t="s">
        <x:v>552</x:v>
      </x:c>
      <x:c r="D11" s="16" t="s">
        <x:v>553</x:v>
      </x:c>
      <x:c r="E11" s="16" t="s">
        <x:v>554</x:v>
      </x:c>
      <x:c r="F11" s="16" t="s">
        <x:v>555</x:v>
      </x:c>
      <x:c r="G11" s="7"/>
      <x:c r="H11" s="7"/>
      <x:c r="I11" s="8"/>
      <x:c r="J11" s="7"/>
      <x:c r="K11" s="7"/>
    </x:row>
    <x:row r="12" ht="35.099998474121094" customHeight="1">
      <x:c r="A12" s="13" t="s">
        <x:v>556</x:v>
      </x:c>
      <x:c r="B12" s="13" t="s">
        <x:v>101</x:v>
      </x:c>
      <x:c r="C12" s="13" t="s">
        <x:v>557</x:v>
      </x:c>
      <x:c r="D12" s="13" t="s">
        <x:v>558</x:v>
      </x:c>
      <x:c r="E12" s="13" t="s">
        <x:v>559</x:v>
      </x:c>
      <x:c r="F12" s="13" t="s">
        <x:v>560</x:v>
      </x:c>
      <x:c r="G12" s="7"/>
      <x:c r="H12" s="7"/>
      <x:c r="I12" s="8"/>
      <x:c r="J12" s="7"/>
      <x:c r="K12" s="7"/>
    </x:row>
    <x:row r="13" ht="27.950000762939453" customHeight="1">
      <x:c r="A13" s="16" t="s">
        <x:v>561</x:v>
      </x:c>
      <x:c r="B13" s="16" t="s">
        <x:v>63</x:v>
      </x:c>
      <x:c r="C13" s="16" t="s">
        <x:v>562</x:v>
      </x:c>
      <x:c r="D13" s="16" t="s">
        <x:v>553</x:v>
      </x:c>
      <x:c r="E13" s="16" t="s">
        <x:v>563</x:v>
      </x:c>
      <x:c r="F13" s="16" t="s">
        <x:v>564</x:v>
      </x:c>
      <x:c r="G13" s="7"/>
      <x:c r="H13" s="7"/>
      <x:c r="I13" s="8"/>
      <x:c r="J13" s="7"/>
      <x:c r="K13" s="7"/>
    </x:row>
    <x:row r="14" ht="27.950000762939453" customHeight="1">
      <x:c r="A14" s="13" t="s">
        <x:v>565</x:v>
      </x:c>
      <x:c r="B14" s="13" t="s">
        <x:v>43</x:v>
      </x:c>
      <x:c r="C14" s="13" t="s">
        <x:v>566</x:v>
      </x:c>
      <x:c r="D14" s="13" t="s">
        <x:v>530</x:v>
      </x:c>
      <x:c r="E14" s="13" t="s">
        <x:v>567</x:v>
      </x:c>
      <x:c r="F14" s="13" t="s">
        <x:v>532</x:v>
      </x:c>
      <x:c r="G14" s="7"/>
      <x:c r="H14" s="7"/>
      <x:c r="I14" s="8"/>
      <x:c r="J14" s="7"/>
      <x:c r="K14" s="7"/>
    </x:row>
    <x:row r="15" ht="35.099998474121094" customHeight="1">
      <x:c r="A15" s="16" t="s">
        <x:v>568</x:v>
      </x:c>
      <x:c r="B15" s="16" t="s">
        <x:v>57</x:v>
      </x:c>
      <x:c r="C15" s="16" t="s">
        <x:v>569</x:v>
      </x:c>
      <x:c r="D15" s="16" t="s">
        <x:v>570</x:v>
      </x:c>
      <x:c r="E15" s="16" t="s">
        <x:v>571</x:v>
      </x:c>
      <x:c r="F15" s="16" t="s">
        <x:v>572</x:v>
      </x:c>
      <x:c r="G15" s="7"/>
      <x:c r="H15" s="7"/>
      <x:c r="I15" s="8"/>
      <x:c r="J15" s="7"/>
      <x:c r="K15" s="7"/>
    </x:row>
    <x:row r="16" ht="35.099998474121094" customHeight="1">
      <x:c r="A16" s="13" t="s">
        <x:v>573</x:v>
      </x:c>
      <x:c r="B16" s="13" t="s">
        <x:v>63</x:v>
      </x:c>
      <x:c r="C16" s="13" t="s">
        <x:v>574</x:v>
      </x:c>
      <x:c r="D16" s="13" t="s">
        <x:v>575</x:v>
      </x:c>
      <x:c r="E16" s="13" t="s">
        <x:v>576</x:v>
      </x:c>
      <x:c r="F16" s="13" t="s">
        <x:v>577</x:v>
      </x:c>
      <x:c r="G16" s="7"/>
      <x:c r="H16" s="7"/>
      <x:c r="I16" s="8"/>
      <x:c r="J16" s="7"/>
      <x:c r="K16" s="7"/>
    </x:row>
    <x:row r="17" ht="35.099998474121094" customHeight="1">
      <x:c r="A17" s="16" t="s">
        <x:v>578</x:v>
      </x:c>
      <x:c r="B17" s="16" t="s">
        <x:v>67</x:v>
      </x:c>
      <x:c r="C17" s="16" t="s">
        <x:v>579</x:v>
      </x:c>
      <x:c r="D17" s="16" t="s">
        <x:v>575</x:v>
      </x:c>
      <x:c r="E17" s="16" t="s">
        <x:v>580</x:v>
      </x:c>
      <x:c r="F17" s="16" t="s">
        <x:v>581</x:v>
      </x:c>
      <x:c r="G17" s="7"/>
      <x:c r="H17" s="7"/>
      <x:c r="I17" s="8"/>
      <x:c r="J17" s="7"/>
      <x:c r="K17" s="7"/>
    </x:row>
    <x:row r="18" ht="35.099998474121094" customHeight="1">
      <x:c r="A18" s="13" t="s">
        <x:v>582</x:v>
      </x:c>
      <x:c r="B18" s="13" t="s">
        <x:v>49</x:v>
      </x:c>
      <x:c r="C18" s="13" t="s">
        <x:v>583</x:v>
      </x:c>
      <x:c r="D18" s="13" t="s">
        <x:v>553</x:v>
      </x:c>
      <x:c r="E18" s="13" t="s">
        <x:v>584</x:v>
      </x:c>
      <x:c r="F18" s="13" t="s">
        <x:v>585</x:v>
      </x:c>
      <x:c r="G18" s="7"/>
      <x:c r="H18" s="7"/>
      <x:c r="I18" s="8"/>
      <x:c r="J18" s="7"/>
      <x:c r="K18" s="7"/>
    </x:row>
  </x:sheetData>
  <x:dataValidations count="1">
    <x:dataValidation type="list" sqref="G6:G18">
      <x:formula1>"B1,B2,B3,Excluido,Pendiente"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fa3a80a654425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7.75" customWidth="1"/>
    <x:col min="2" max="2" width="12.75" customWidth="1"/>
    <x:col min="3" max="3" width="26.375" customWidth="1"/>
    <x:col min="4" max="4" width="14" customWidth="1"/>
    <x:col min="5" max="5" width="42.875" customWidth="1"/>
    <x:col min="6" max="6" width="40.375" customWidth="1"/>
    <x:col min="7" max="7" width="59.875" customWidth="1"/>
    <x:col min="8" max="9" width="12" customWidth="1"/>
    <x:col min="10" max="11" width="18" customWidth="1"/>
    <x:col min="12" max="12" width="34" customWidth="1"/>
    <x:col min="13" max="13" width="26" customWidth="1"/>
    <x:col min="14" max="14" width="18" customWidth="1"/>
    <x:col min="15" max="15" width="65" customWidth="1"/>
    <x:col min="16" max="16" width="38" customWidth="1"/>
    <x:col min="17" max="17" width="24" customWidth="1"/>
    <x:col min="18" max="18" width="20" customWidth="1"/>
    <x:col min="19" max="19" width="27" customWidth="1"/>
    <x:col min="20" max="20" width="21" customWidth="1"/>
    <x:col min="21" max="21" width="35" customWidth="1"/>
    <x:col min="22" max="22" width="20" customWidth="1"/>
    <x:col min="23" max="23" width="29" customWidth="1"/>
    <x:col min="24" max="24" width="23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24.950000762939453" customHeight="1">
      <x:c r="A2" s="2" t="s">
        <x:v>586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 ht="20.100000381469727" customHeight="1">
      <x:c r="A3" s="3" t="s">
        <x:v>587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</x:row>
    <x:row r="5" ht="39.95000076293945" customHeight="1">
      <x:c r="A5" s="4" t="s">
        <x:v>588</x:v>
      </x:c>
      <x:c r="B5" s="4" t="s">
        <x:v>86</x:v>
      </x:c>
      <x:c r="C5" s="4" t="s">
        <x:v>589</x:v>
      </x:c>
      <x:c r="D5" s="4" t="s">
        <x:v>590</x:v>
      </x:c>
      <x:c r="E5" s="4" t="s">
        <x:v>591</x:v>
      </x:c>
      <x:c r="F5" s="4" t="s">
        <x:v>592</x:v>
      </x:c>
      <x:c r="G5" s="4" t="s">
        <x:v>593</x:v>
      </x:c>
      <x:c r="H5" s="4" t="s">
        <x:v>594</x:v>
      </x:c>
      <x:c r="I5" s="4" t="s">
        <x:v>595</x:v>
      </x:c>
      <x:c r="J5" s="4" t="s">
        <x:v>596</x:v>
      </x:c>
      <x:c r="K5" s="4" t="s">
        <x:v>597</x:v>
      </x:c>
      <x:c r="L5" s="4" t="s">
        <x:v>598</x:v>
      </x:c>
      <x:c r="M5" s="4" t="s">
        <x:v>599</x:v>
      </x:c>
      <x:c r="N5" s="4" t="s">
        <x:v>600</x:v>
      </x:c>
      <x:c r="O5" s="4" t="s">
        <x:v>601</x:v>
      </x:c>
      <x:c r="P5" s="4" t="s">
        <x:v>97</x:v>
      </x:c>
      <x:c r="Q5" s="4" t="s">
        <x:v>602</x:v>
      </x:c>
      <x:c r="R5" s="4" t="s">
        <x:v>603</x:v>
      </x:c>
      <x:c r="S5" s="4" t="s">
        <x:v>98</x:v>
      </x:c>
      <x:c r="T5" s="4" t="s">
        <x:v>604</x:v>
      </x:c>
      <x:c r="U5" s="4" t="s">
        <x:v>605</x:v>
      </x:c>
      <x:c r="V5" s="4" t="s">
        <x:v>39</x:v>
      </x:c>
      <x:c r="W5" s="4" t="s">
        <x:v>606</x:v>
      </x:c>
      <x:c r="X5" s="4" t="s">
        <x:v>607</x:v>
      </x:c>
    </x:row>
    <x:row r="6" ht="35.099998474121094" customHeight="1">
      <x:c r="A6" s="5" t="s">
        <x:v>608</x:v>
      </x:c>
      <x:c r="B6" s="5" t="s">
        <x:v>43</x:v>
      </x:c>
      <x:c r="C6" s="5" t="s">
        <x:v>609</x:v>
      </x:c>
      <x:c r="D6" s="5" t="s">
        <x:v>610</x:v>
      </x:c>
      <x:c r="E6" s="5" t="s">
        <x:v>611</x:v>
      </x:c>
      <x:c r="F6" s="5" t="s">
        <x:v>612</x:v>
      </x:c>
      <x:c r="G6" s="5" t="s">
        <x:v>613</x:v>
      </x:c>
      <x:c r="H6" s="5" t="s">
        <x:v>138</x:v>
      </x:c>
      <x:c r="I6" s="5" t="s">
        <x:v>139</x:v>
      </x:c>
      <x:c r="J6" s="7"/>
      <x:c r="K6" s="7"/>
      <x:c r="L6" s="7"/>
      <x:c r="M6" s="7"/>
      <x:c r="N6" s="8"/>
      <x:c r="O6" s="7"/>
      <x:c r="P6" s="7"/>
      <x:c r="Q6" s="7"/>
      <x:c r="R6" s="7"/>
      <x:c r="S6" s="7"/>
      <x:c r="T6" s="7" t="s">
        <x:v>614</x:v>
      </x:c>
      <x:c r="U6" s="5" t="str">
        <x:f t="shared" ref="U6:U38" si="0">IF(T6&lt;&gt;"Ejecutado","Sin ejecutar",IF(AND(J6&lt;&gt;"",K6&lt;&gt;"",L6&lt;&gt;"",M6&lt;&gt;"",ISNUMBER(N6),O6&lt;&gt;"",P6&lt;&gt;"",R6&lt;&gt;"",S6&lt;&gt;"",ISNUMBER(V6),W6&lt;&gt;"",ISNUMBER(X6)),IF(R6="Aprobado","Ejecución aceptada","Requiere acción"),"Falta evidencia o aceptación"))</x:f>
        <x:v>Sin ejecutar</x:v>
      </x:c>
      <x:c r="V6" s="8"/>
      <x:c r="W6" s="7"/>
      <x:c r="X6" s="8"/>
    </x:row>
    <x:row r="7" ht="35.099998474121094" customHeight="1">
      <x:c r="A7" s="6" t="s">
        <x:v>615</x:v>
      </x:c>
      <x:c r="B7" s="6" t="s">
        <x:v>43</x:v>
      </x:c>
      <x:c r="C7" s="6" t="s">
        <x:v>616</x:v>
      </x:c>
      <x:c r="D7" s="6" t="s">
        <x:v>610</x:v>
      </x:c>
      <x:c r="E7" s="6" t="s">
        <x:v>617</x:v>
      </x:c>
      <x:c r="F7" s="6" t="s">
        <x:v>618</x:v>
      </x:c>
      <x:c r="G7" s="6" t="s">
        <x:v>619</x:v>
      </x:c>
      <x:c r="H7" s="6" t="s">
        <x:v>138</x:v>
      </x:c>
      <x:c r="I7" s="6" t="s">
        <x:v>139</x:v>
      </x:c>
      <x:c r="J7" s="7"/>
      <x:c r="K7" s="7"/>
      <x:c r="L7" s="7"/>
      <x:c r="M7" s="7"/>
      <x:c r="N7" s="8"/>
      <x:c r="O7" s="7"/>
      <x:c r="P7" s="7"/>
      <x:c r="Q7" s="7"/>
      <x:c r="R7" s="7"/>
      <x:c r="S7" s="7"/>
      <x:c r="T7" s="7" t="s">
        <x:v>614</x:v>
      </x:c>
      <x:c r="U7" s="6" t="str">
        <x:f t="shared" si="0"/>
        <x:v>Sin ejecutar</x:v>
      </x:c>
      <x:c r="V7" s="8"/>
      <x:c r="W7" s="7"/>
      <x:c r="X7" s="8"/>
    </x:row>
    <x:row r="8" ht="35.099998474121094" customHeight="1">
      <x:c r="A8" s="5" t="s">
        <x:v>620</x:v>
      </x:c>
      <x:c r="B8" s="5" t="s">
        <x:v>49</x:v>
      </x:c>
      <x:c r="C8" s="5" t="s">
        <x:v>621</x:v>
      </x:c>
      <x:c r="D8" s="5" t="s">
        <x:v>610</x:v>
      </x:c>
      <x:c r="E8" s="5" t="s">
        <x:v>622</x:v>
      </x:c>
      <x:c r="F8" s="5" t="s">
        <x:v>623</x:v>
      </x:c>
      <x:c r="G8" s="5" t="s">
        <x:v>624</x:v>
      </x:c>
      <x:c r="H8" s="5" t="s">
        <x:v>138</x:v>
      </x:c>
      <x:c r="I8" s="5" t="s">
        <x:v>139</x:v>
      </x:c>
      <x:c r="J8" s="7"/>
      <x:c r="K8" s="7"/>
      <x:c r="L8" s="7"/>
      <x:c r="M8" s="7"/>
      <x:c r="N8" s="8"/>
      <x:c r="O8" s="7"/>
      <x:c r="P8" s="7"/>
      <x:c r="Q8" s="7"/>
      <x:c r="R8" s="7"/>
      <x:c r="S8" s="7"/>
      <x:c r="T8" s="7" t="s">
        <x:v>614</x:v>
      </x:c>
      <x:c r="U8" s="5" t="str">
        <x:f t="shared" si="0"/>
        <x:v>Sin ejecutar</x:v>
      </x:c>
      <x:c r="V8" s="8"/>
      <x:c r="W8" s="7"/>
      <x:c r="X8" s="8"/>
    </x:row>
    <x:row r="9" ht="35.099998474121094" customHeight="1">
      <x:c r="A9" s="6" t="s">
        <x:v>625</x:v>
      </x:c>
      <x:c r="B9" s="6" t="s">
        <x:v>49</x:v>
      </x:c>
      <x:c r="C9" s="6" t="s">
        <x:v>626</x:v>
      </x:c>
      <x:c r="D9" s="6" t="s">
        <x:v>610</x:v>
      </x:c>
      <x:c r="E9" s="6" t="s">
        <x:v>627</x:v>
      </x:c>
      <x:c r="F9" s="6" t="s">
        <x:v>628</x:v>
      </x:c>
      <x:c r="G9" s="6" t="s">
        <x:v>629</x:v>
      </x:c>
      <x:c r="H9" s="6" t="s">
        <x:v>138</x:v>
      </x:c>
      <x:c r="I9" s="6" t="s">
        <x:v>139</x:v>
      </x:c>
      <x:c r="J9" s="7"/>
      <x:c r="K9" s="7"/>
      <x:c r="L9" s="7"/>
      <x:c r="M9" s="7"/>
      <x:c r="N9" s="8"/>
      <x:c r="O9" s="7"/>
      <x:c r="P9" s="7"/>
      <x:c r="Q9" s="7"/>
      <x:c r="R9" s="7"/>
      <x:c r="S9" s="7"/>
      <x:c r="T9" s="7" t="s">
        <x:v>614</x:v>
      </x:c>
      <x:c r="U9" s="6" t="str">
        <x:f t="shared" si="0"/>
        <x:v>Sin ejecutar</x:v>
      </x:c>
      <x:c r="V9" s="8"/>
      <x:c r="W9" s="7"/>
      <x:c r="X9" s="8"/>
    </x:row>
    <x:row r="10" ht="35.099998474121094" customHeight="1">
      <x:c r="A10" s="5" t="s">
        <x:v>630</x:v>
      </x:c>
      <x:c r="B10" s="5" t="s">
        <x:v>53</x:v>
      </x:c>
      <x:c r="C10" s="5" t="s">
        <x:v>631</x:v>
      </x:c>
      <x:c r="D10" s="5" t="s">
        <x:v>610</x:v>
      </x:c>
      <x:c r="E10" s="5" t="s">
        <x:v>632</x:v>
      </x:c>
      <x:c r="F10" s="5" t="s">
        <x:v>633</x:v>
      </x:c>
      <x:c r="G10" s="5" t="s">
        <x:v>634</x:v>
      </x:c>
      <x:c r="H10" s="5" t="s">
        <x:v>138</x:v>
      </x:c>
      <x:c r="I10" s="5" t="s">
        <x:v>139</x:v>
      </x:c>
      <x:c r="J10" s="7"/>
      <x:c r="K10" s="7"/>
      <x:c r="L10" s="7"/>
      <x:c r="M10" s="7"/>
      <x:c r="N10" s="8"/>
      <x:c r="O10" s="7"/>
      <x:c r="P10" s="7"/>
      <x:c r="Q10" s="7"/>
      <x:c r="R10" s="7"/>
      <x:c r="S10" s="7"/>
      <x:c r="T10" s="7" t="s">
        <x:v>614</x:v>
      </x:c>
      <x:c r="U10" s="5" t="str">
        <x:f t="shared" si="0"/>
        <x:v>Sin ejecutar</x:v>
      </x:c>
      <x:c r="V10" s="8"/>
      <x:c r="W10" s="7"/>
      <x:c r="X10" s="8"/>
    </x:row>
    <x:row r="11" ht="35.099998474121094" customHeight="1">
      <x:c r="A11" s="6" t="s">
        <x:v>635</x:v>
      </x:c>
      <x:c r="B11" s="6" t="s">
        <x:v>53</x:v>
      </x:c>
      <x:c r="C11" s="6" t="s">
        <x:v>636</x:v>
      </x:c>
      <x:c r="D11" s="6" t="s">
        <x:v>610</x:v>
      </x:c>
      <x:c r="E11" s="6" t="s">
        <x:v>637</x:v>
      </x:c>
      <x:c r="F11" s="6" t="s">
        <x:v>638</x:v>
      </x:c>
      <x:c r="G11" s="6" t="s">
        <x:v>639</x:v>
      </x:c>
      <x:c r="H11" s="6" t="s">
        <x:v>138</x:v>
      </x:c>
      <x:c r="I11" s="6" t="s">
        <x:v>139</x:v>
      </x:c>
      <x:c r="J11" s="7"/>
      <x:c r="K11" s="7"/>
      <x:c r="L11" s="7"/>
      <x:c r="M11" s="7"/>
      <x:c r="N11" s="8"/>
      <x:c r="O11" s="7"/>
      <x:c r="P11" s="7"/>
      <x:c r="Q11" s="7"/>
      <x:c r="R11" s="7"/>
      <x:c r="S11" s="7"/>
      <x:c r="T11" s="7" t="s">
        <x:v>614</x:v>
      </x:c>
      <x:c r="U11" s="6" t="str">
        <x:f t="shared" si="0"/>
        <x:v>Sin ejecutar</x:v>
      </x:c>
      <x:c r="V11" s="8"/>
      <x:c r="W11" s="7"/>
      <x:c r="X11" s="8"/>
    </x:row>
    <x:row r="12" ht="35.099998474121094" customHeight="1">
      <x:c r="A12" s="5" t="s">
        <x:v>640</x:v>
      </x:c>
      <x:c r="B12" s="5" t="s">
        <x:v>57</x:v>
      </x:c>
      <x:c r="C12" s="5" t="s">
        <x:v>641</x:v>
      </x:c>
      <x:c r="D12" s="5" t="s">
        <x:v>610</x:v>
      </x:c>
      <x:c r="E12" s="5" t="s">
        <x:v>642</x:v>
      </x:c>
      <x:c r="F12" s="5" t="s">
        <x:v>643</x:v>
      </x:c>
      <x:c r="G12" s="5" t="s">
        <x:v>644</x:v>
      </x:c>
      <x:c r="H12" s="5" t="s">
        <x:v>138</x:v>
      </x:c>
      <x:c r="I12" s="5" t="s">
        <x:v>139</x:v>
      </x:c>
      <x:c r="J12" s="7"/>
      <x:c r="K12" s="7"/>
      <x:c r="L12" s="7"/>
      <x:c r="M12" s="7"/>
      <x:c r="N12" s="8"/>
      <x:c r="O12" s="7"/>
      <x:c r="P12" s="7"/>
      <x:c r="Q12" s="7"/>
      <x:c r="R12" s="7"/>
      <x:c r="S12" s="7"/>
      <x:c r="T12" s="7" t="s">
        <x:v>614</x:v>
      </x:c>
      <x:c r="U12" s="5" t="str">
        <x:f t="shared" si="0"/>
        <x:v>Sin ejecutar</x:v>
      </x:c>
      <x:c r="V12" s="8"/>
      <x:c r="W12" s="7"/>
      <x:c r="X12" s="8"/>
    </x:row>
    <x:row r="13" ht="35.099998474121094" customHeight="1">
      <x:c r="A13" s="6" t="s">
        <x:v>645</x:v>
      </x:c>
      <x:c r="B13" s="6" t="s">
        <x:v>57</x:v>
      </x:c>
      <x:c r="C13" s="6" t="s">
        <x:v>646</x:v>
      </x:c>
      <x:c r="D13" s="6" t="s">
        <x:v>610</x:v>
      </x:c>
      <x:c r="E13" s="6" t="s">
        <x:v>647</x:v>
      </x:c>
      <x:c r="F13" s="6" t="s">
        <x:v>648</x:v>
      </x:c>
      <x:c r="G13" s="6" t="s">
        <x:v>649</x:v>
      </x:c>
      <x:c r="H13" s="6" t="s">
        <x:v>138</x:v>
      </x:c>
      <x:c r="I13" s="6" t="s">
        <x:v>139</x:v>
      </x:c>
      <x:c r="J13" s="7"/>
      <x:c r="K13" s="7"/>
      <x:c r="L13" s="7"/>
      <x:c r="M13" s="7"/>
      <x:c r="N13" s="8"/>
      <x:c r="O13" s="7"/>
      <x:c r="P13" s="7"/>
      <x:c r="Q13" s="7"/>
      <x:c r="R13" s="7"/>
      <x:c r="S13" s="7"/>
      <x:c r="T13" s="7" t="s">
        <x:v>614</x:v>
      </x:c>
      <x:c r="U13" s="6" t="str">
        <x:f t="shared" si="0"/>
        <x:v>Sin ejecutar</x:v>
      </x:c>
      <x:c r="V13" s="8"/>
      <x:c r="W13" s="7"/>
      <x:c r="X13" s="8"/>
    </x:row>
    <x:row r="14" ht="48.599998474121094" customHeight="1">
      <x:c r="A14" s="5" t="s">
        <x:v>650</x:v>
      </x:c>
      <x:c r="B14" s="5" t="s">
        <x:v>61</x:v>
      </x:c>
      <x:c r="C14" s="5" t="s">
        <x:v>651</x:v>
      </x:c>
      <x:c r="D14" s="5" t="s">
        <x:v>610</x:v>
      </x:c>
      <x:c r="E14" s="5" t="s">
        <x:v>652</x:v>
      </x:c>
      <x:c r="F14" s="5" t="s">
        <x:v>653</x:v>
      </x:c>
      <x:c r="G14" s="5" t="s">
        <x:v>654</x:v>
      </x:c>
      <x:c r="H14" s="5" t="s">
        <x:v>138</x:v>
      </x:c>
      <x:c r="I14" s="5" t="s">
        <x:v>139</x:v>
      </x:c>
      <x:c r="J14" s="7"/>
      <x:c r="K14" s="7"/>
      <x:c r="L14" s="7"/>
      <x:c r="M14" s="7"/>
      <x:c r="N14" s="8"/>
      <x:c r="O14" s="7"/>
      <x:c r="P14" s="7"/>
      <x:c r="Q14" s="7"/>
      <x:c r="R14" s="7"/>
      <x:c r="S14" s="7"/>
      <x:c r="T14" s="7" t="s">
        <x:v>614</x:v>
      </x:c>
      <x:c r="U14" s="5" t="str">
        <x:f t="shared" si="0"/>
        <x:v>Sin ejecutar</x:v>
      </x:c>
      <x:c r="V14" s="8"/>
      <x:c r="W14" s="7"/>
      <x:c r="X14" s="8"/>
    </x:row>
    <x:row r="15" ht="35.099998474121094" customHeight="1">
      <x:c r="A15" s="6" t="s">
        <x:v>655</x:v>
      </x:c>
      <x:c r="B15" s="6" t="s">
        <x:v>61</x:v>
      </x:c>
      <x:c r="C15" s="6" t="s">
        <x:v>656</x:v>
      </x:c>
      <x:c r="D15" s="6" t="s">
        <x:v>610</x:v>
      </x:c>
      <x:c r="E15" s="6" t="s">
        <x:v>657</x:v>
      </x:c>
      <x:c r="F15" s="6" t="s">
        <x:v>658</x:v>
      </x:c>
      <x:c r="G15" s="6" t="s">
        <x:v>659</x:v>
      </x:c>
      <x:c r="H15" s="6" t="s">
        <x:v>138</x:v>
      </x:c>
      <x:c r="I15" s="6" t="s">
        <x:v>139</x:v>
      </x:c>
      <x:c r="J15" s="7"/>
      <x:c r="K15" s="7"/>
      <x:c r="L15" s="7"/>
      <x:c r="M15" s="7"/>
      <x:c r="N15" s="8"/>
      <x:c r="O15" s="7"/>
      <x:c r="P15" s="7"/>
      <x:c r="Q15" s="7"/>
      <x:c r="R15" s="7"/>
      <x:c r="S15" s="7"/>
      <x:c r="T15" s="7" t="s">
        <x:v>614</x:v>
      </x:c>
      <x:c r="U15" s="6" t="str">
        <x:f t="shared" si="0"/>
        <x:v>Sin ejecutar</x:v>
      </x:c>
      <x:c r="V15" s="8"/>
      <x:c r="W15" s="7"/>
      <x:c r="X15" s="8"/>
    </x:row>
    <x:row r="16" ht="35.099998474121094" customHeight="1">
      <x:c r="A16" s="5" t="s">
        <x:v>660</x:v>
      </x:c>
      <x:c r="B16" s="5" t="s">
        <x:v>63</x:v>
      </x:c>
      <x:c r="C16" s="5" t="s">
        <x:v>661</x:v>
      </x:c>
      <x:c r="D16" s="5" t="s">
        <x:v>610</x:v>
      </x:c>
      <x:c r="E16" s="5" t="s">
        <x:v>662</x:v>
      </x:c>
      <x:c r="F16" s="5" t="s">
        <x:v>663</x:v>
      </x:c>
      <x:c r="G16" s="5" t="s">
        <x:v>664</x:v>
      </x:c>
      <x:c r="H16" s="5" t="s">
        <x:v>138</x:v>
      </x:c>
      <x:c r="I16" s="5" t="s">
        <x:v>139</x:v>
      </x:c>
      <x:c r="J16" s="7"/>
      <x:c r="K16" s="7"/>
      <x:c r="L16" s="7"/>
      <x:c r="M16" s="7"/>
      <x:c r="N16" s="8"/>
      <x:c r="O16" s="7"/>
      <x:c r="P16" s="7"/>
      <x:c r="Q16" s="7"/>
      <x:c r="R16" s="7"/>
      <x:c r="S16" s="7"/>
      <x:c r="T16" s="7" t="s">
        <x:v>614</x:v>
      </x:c>
      <x:c r="U16" s="5" t="str">
        <x:f t="shared" si="0"/>
        <x:v>Sin ejecutar</x:v>
      </x:c>
      <x:c r="V16" s="8"/>
      <x:c r="W16" s="7"/>
      <x:c r="X16" s="8"/>
    </x:row>
    <x:row r="17" ht="35.099998474121094" customHeight="1">
      <x:c r="A17" s="6" t="s">
        <x:v>665</x:v>
      </x:c>
      <x:c r="B17" s="6" t="s">
        <x:v>63</x:v>
      </x:c>
      <x:c r="C17" s="6" t="s">
        <x:v>666</x:v>
      </x:c>
      <x:c r="D17" s="6" t="s">
        <x:v>610</x:v>
      </x:c>
      <x:c r="E17" s="6" t="s">
        <x:v>667</x:v>
      </x:c>
      <x:c r="F17" s="6" t="s">
        <x:v>668</x:v>
      </x:c>
      <x:c r="G17" s="6" t="s">
        <x:v>669</x:v>
      </x:c>
      <x:c r="H17" s="6" t="s">
        <x:v>138</x:v>
      </x:c>
      <x:c r="I17" s="6" t="s">
        <x:v>139</x:v>
      </x:c>
      <x:c r="J17" s="7"/>
      <x:c r="K17" s="7"/>
      <x:c r="L17" s="7"/>
      <x:c r="M17" s="7"/>
      <x:c r="N17" s="8"/>
      <x:c r="O17" s="7"/>
      <x:c r="P17" s="7"/>
      <x:c r="Q17" s="7"/>
      <x:c r="R17" s="7"/>
      <x:c r="S17" s="7"/>
      <x:c r="T17" s="7" t="s">
        <x:v>614</x:v>
      </x:c>
      <x:c r="U17" s="6" t="str">
        <x:f t="shared" si="0"/>
        <x:v>Sin ejecutar</x:v>
      </x:c>
      <x:c r="V17" s="8"/>
      <x:c r="W17" s="7"/>
      <x:c r="X17" s="8"/>
    </x:row>
    <x:row r="18" ht="35.099998474121094" customHeight="1">
      <x:c r="A18" s="5" t="s">
        <x:v>670</x:v>
      </x:c>
      <x:c r="B18" s="5" t="s">
        <x:v>67</x:v>
      </x:c>
      <x:c r="C18" s="5" t="s">
        <x:v>671</x:v>
      </x:c>
      <x:c r="D18" s="5" t="s">
        <x:v>610</x:v>
      </x:c>
      <x:c r="E18" s="5" t="s">
        <x:v>672</x:v>
      </x:c>
      <x:c r="F18" s="5" t="s">
        <x:v>673</x:v>
      </x:c>
      <x:c r="G18" s="5" t="s">
        <x:v>674</x:v>
      </x:c>
      <x:c r="H18" s="5" t="s">
        <x:v>138</x:v>
      </x:c>
      <x:c r="I18" s="5" t="s">
        <x:v>139</x:v>
      </x:c>
      <x:c r="J18" s="7"/>
      <x:c r="K18" s="7"/>
      <x:c r="L18" s="7"/>
      <x:c r="M18" s="7"/>
      <x:c r="N18" s="8"/>
      <x:c r="O18" s="7"/>
      <x:c r="P18" s="7"/>
      <x:c r="Q18" s="7"/>
      <x:c r="R18" s="7"/>
      <x:c r="S18" s="7"/>
      <x:c r="T18" s="7" t="s">
        <x:v>614</x:v>
      </x:c>
      <x:c r="U18" s="5" t="str">
        <x:f t="shared" si="0"/>
        <x:v>Sin ejecutar</x:v>
      </x:c>
      <x:c r="V18" s="8"/>
      <x:c r="W18" s="7"/>
      <x:c r="X18" s="8"/>
    </x:row>
    <x:row r="19" ht="27.950000762939453" customHeight="1">
      <x:c r="A19" s="6" t="s">
        <x:v>675</x:v>
      </x:c>
      <x:c r="B19" s="6" t="s">
        <x:v>67</x:v>
      </x:c>
      <x:c r="C19" s="6" t="s">
        <x:v>676</x:v>
      </x:c>
      <x:c r="D19" s="6" t="s">
        <x:v>610</x:v>
      </x:c>
      <x:c r="E19" s="6" t="s">
        <x:v>677</x:v>
      </x:c>
      <x:c r="F19" s="6" t="s">
        <x:v>678</x:v>
      </x:c>
      <x:c r="G19" s="6" t="s">
        <x:v>679</x:v>
      </x:c>
      <x:c r="H19" s="6" t="s">
        <x:v>138</x:v>
      </x:c>
      <x:c r="I19" s="6" t="s">
        <x:v>139</x:v>
      </x:c>
      <x:c r="J19" s="7"/>
      <x:c r="K19" s="7"/>
      <x:c r="L19" s="7"/>
      <x:c r="M19" s="7"/>
      <x:c r="N19" s="8"/>
      <x:c r="O19" s="7"/>
      <x:c r="P19" s="7"/>
      <x:c r="Q19" s="7"/>
      <x:c r="R19" s="7"/>
      <x:c r="S19" s="7"/>
      <x:c r="T19" s="7" t="s">
        <x:v>614</x:v>
      </x:c>
      <x:c r="U19" s="6" t="str">
        <x:f t="shared" si="0"/>
        <x:v>Sin ejecutar</x:v>
      </x:c>
      <x:c r="V19" s="8"/>
      <x:c r="W19" s="7"/>
      <x:c r="X19" s="8"/>
    </x:row>
    <x:row r="20" ht="35.099998474121094" customHeight="1">
      <x:c r="A20" s="5" t="s">
        <x:v>680</x:v>
      </x:c>
      <x:c r="B20" s="5" t="s">
        <x:v>71</x:v>
      </x:c>
      <x:c r="C20" s="5" t="s">
        <x:v>681</x:v>
      </x:c>
      <x:c r="D20" s="5" t="s">
        <x:v>610</x:v>
      </x:c>
      <x:c r="E20" s="5" t="s">
        <x:v>682</x:v>
      </x:c>
      <x:c r="F20" s="5" t="s">
        <x:v>683</x:v>
      </x:c>
      <x:c r="G20" s="5" t="s">
        <x:v>684</x:v>
      </x:c>
      <x:c r="H20" s="5" t="s">
        <x:v>138</x:v>
      </x:c>
      <x:c r="I20" s="5" t="s">
        <x:v>139</x:v>
      </x:c>
      <x:c r="J20" s="7"/>
      <x:c r="K20" s="7"/>
      <x:c r="L20" s="7"/>
      <x:c r="M20" s="7"/>
      <x:c r="N20" s="8"/>
      <x:c r="O20" s="7"/>
      <x:c r="P20" s="7"/>
      <x:c r="Q20" s="7"/>
      <x:c r="R20" s="7"/>
      <x:c r="S20" s="7"/>
      <x:c r="T20" s="7" t="s">
        <x:v>614</x:v>
      </x:c>
      <x:c r="U20" s="5" t="str">
        <x:f t="shared" si="0"/>
        <x:v>Sin ejecutar</x:v>
      </x:c>
      <x:c r="V20" s="8"/>
      <x:c r="W20" s="7"/>
      <x:c r="X20" s="8"/>
    </x:row>
    <x:row r="21" ht="35.099998474121094" customHeight="1">
      <x:c r="A21" s="6" t="s">
        <x:v>685</x:v>
      </x:c>
      <x:c r="B21" s="6" t="s">
        <x:v>71</x:v>
      </x:c>
      <x:c r="C21" s="6" t="s">
        <x:v>686</x:v>
      </x:c>
      <x:c r="D21" s="6" t="s">
        <x:v>610</x:v>
      </x:c>
      <x:c r="E21" s="6" t="s">
        <x:v>687</x:v>
      </x:c>
      <x:c r="F21" s="6" t="s">
        <x:v>688</x:v>
      </x:c>
      <x:c r="G21" s="6" t="s">
        <x:v>689</x:v>
      </x:c>
      <x:c r="H21" s="6" t="s">
        <x:v>138</x:v>
      </x:c>
      <x:c r="I21" s="6" t="s">
        <x:v>139</x:v>
      </x:c>
      <x:c r="J21" s="7"/>
      <x:c r="K21" s="7"/>
      <x:c r="L21" s="7"/>
      <x:c r="M21" s="7"/>
      <x:c r="N21" s="8"/>
      <x:c r="O21" s="7"/>
      <x:c r="P21" s="7"/>
      <x:c r="Q21" s="7"/>
      <x:c r="R21" s="7"/>
      <x:c r="S21" s="7"/>
      <x:c r="T21" s="7" t="s">
        <x:v>614</x:v>
      </x:c>
      <x:c r="U21" s="6" t="str">
        <x:f t="shared" si="0"/>
        <x:v>Sin ejecutar</x:v>
      </x:c>
      <x:c r="V21" s="8"/>
      <x:c r="W21" s="7"/>
      <x:c r="X21" s="8"/>
    </x:row>
    <x:row r="22" ht="35.099998474121094" customHeight="1">
      <x:c r="A22" s="5" t="s">
        <x:v>690</x:v>
      </x:c>
      <x:c r="B22" s="5" t="s">
        <x:v>75</x:v>
      </x:c>
      <x:c r="C22" s="5" t="s">
        <x:v>691</x:v>
      </x:c>
      <x:c r="D22" s="5" t="s">
        <x:v>610</x:v>
      </x:c>
      <x:c r="E22" s="5" t="s">
        <x:v>692</x:v>
      </x:c>
      <x:c r="F22" s="5" t="s">
        <x:v>693</x:v>
      </x:c>
      <x:c r="G22" s="5" t="s">
        <x:v>694</x:v>
      </x:c>
      <x:c r="H22" s="5" t="s">
        <x:v>138</x:v>
      </x:c>
      <x:c r="I22" s="5" t="s">
        <x:v>139</x:v>
      </x:c>
      <x:c r="J22" s="7"/>
      <x:c r="K22" s="7"/>
      <x:c r="L22" s="7"/>
      <x:c r="M22" s="7"/>
      <x:c r="N22" s="8"/>
      <x:c r="O22" s="7"/>
      <x:c r="P22" s="7"/>
      <x:c r="Q22" s="7"/>
      <x:c r="R22" s="7"/>
      <x:c r="S22" s="7"/>
      <x:c r="T22" s="7" t="s">
        <x:v>614</x:v>
      </x:c>
      <x:c r="U22" s="5" t="str">
        <x:f t="shared" si="0"/>
        <x:v>Sin ejecutar</x:v>
      </x:c>
      <x:c r="V22" s="8"/>
      <x:c r="W22" s="7"/>
      <x:c r="X22" s="8"/>
    </x:row>
    <x:row r="23" ht="35.099998474121094" customHeight="1">
      <x:c r="A23" s="6" t="s">
        <x:v>695</x:v>
      </x:c>
      <x:c r="B23" s="6" t="s">
        <x:v>75</x:v>
      </x:c>
      <x:c r="C23" s="6" t="s">
        <x:v>696</x:v>
      </x:c>
      <x:c r="D23" s="6" t="s">
        <x:v>610</x:v>
      </x:c>
      <x:c r="E23" s="6" t="s">
        <x:v>697</x:v>
      </x:c>
      <x:c r="F23" s="6" t="s">
        <x:v>698</x:v>
      </x:c>
      <x:c r="G23" s="6" t="s">
        <x:v>699</x:v>
      </x:c>
      <x:c r="H23" s="6" t="s">
        <x:v>138</x:v>
      </x:c>
      <x:c r="I23" s="6" t="s">
        <x:v>139</x:v>
      </x:c>
      <x:c r="J23" s="7"/>
      <x:c r="K23" s="7"/>
      <x:c r="L23" s="7"/>
      <x:c r="M23" s="7"/>
      <x:c r="N23" s="8"/>
      <x:c r="O23" s="7"/>
      <x:c r="P23" s="7"/>
      <x:c r="Q23" s="7"/>
      <x:c r="R23" s="7"/>
      <x:c r="S23" s="7"/>
      <x:c r="T23" s="7" t="s">
        <x:v>614</x:v>
      </x:c>
      <x:c r="U23" s="6" t="str">
        <x:f t="shared" si="0"/>
        <x:v>Sin ejecutar</x:v>
      </x:c>
      <x:c r="V23" s="8"/>
      <x:c r="W23" s="7"/>
      <x:c r="X23" s="8"/>
    </x:row>
    <x:row r="24" ht="35.099998474121094" customHeight="1">
      <x:c r="A24" s="5" t="s">
        <x:v>700</x:v>
      </x:c>
      <x:c r="B24" s="5" t="s">
        <x:v>79</x:v>
      </x:c>
      <x:c r="C24" s="5" t="s">
        <x:v>701</x:v>
      </x:c>
      <x:c r="D24" s="5" t="s">
        <x:v>610</x:v>
      </x:c>
      <x:c r="E24" s="5" t="s">
        <x:v>702</x:v>
      </x:c>
      <x:c r="F24" s="5" t="s">
        <x:v>703</x:v>
      </x:c>
      <x:c r="G24" s="5" t="s">
        <x:v>704</x:v>
      </x:c>
      <x:c r="H24" s="5" t="s">
        <x:v>138</x:v>
      </x:c>
      <x:c r="I24" s="5" t="s">
        <x:v>139</x:v>
      </x:c>
      <x:c r="J24" s="7"/>
      <x:c r="K24" s="7"/>
      <x:c r="L24" s="7"/>
      <x:c r="M24" s="7"/>
      <x:c r="N24" s="8"/>
      <x:c r="O24" s="7"/>
      <x:c r="P24" s="7"/>
      <x:c r="Q24" s="7"/>
      <x:c r="R24" s="7"/>
      <x:c r="S24" s="7"/>
      <x:c r="T24" s="7" t="s">
        <x:v>614</x:v>
      </x:c>
      <x:c r="U24" s="5" t="str">
        <x:f t="shared" si="0"/>
        <x:v>Sin ejecutar</x:v>
      </x:c>
      <x:c r="V24" s="8"/>
      <x:c r="W24" s="7"/>
      <x:c r="X24" s="8"/>
    </x:row>
    <x:row r="25" ht="35.099998474121094" customHeight="1">
      <x:c r="A25" s="6" t="s">
        <x:v>705</x:v>
      </x:c>
      <x:c r="B25" s="6" t="s">
        <x:v>79</x:v>
      </x:c>
      <x:c r="C25" s="6" t="s">
        <x:v>706</x:v>
      </x:c>
      <x:c r="D25" s="6" t="s">
        <x:v>610</x:v>
      </x:c>
      <x:c r="E25" s="6" t="s">
        <x:v>707</x:v>
      </x:c>
      <x:c r="F25" s="6" t="s">
        <x:v>708</x:v>
      </x:c>
      <x:c r="G25" s="6" t="s">
        <x:v>709</x:v>
      </x:c>
      <x:c r="H25" s="6" t="s">
        <x:v>138</x:v>
      </x:c>
      <x:c r="I25" s="6" t="s">
        <x:v>139</x:v>
      </x:c>
      <x:c r="J25" s="7"/>
      <x:c r="K25" s="7"/>
      <x:c r="L25" s="7"/>
      <x:c r="M25" s="7"/>
      <x:c r="N25" s="8"/>
      <x:c r="O25" s="7"/>
      <x:c r="P25" s="7"/>
      <x:c r="Q25" s="7"/>
      <x:c r="R25" s="7"/>
      <x:c r="S25" s="7"/>
      <x:c r="T25" s="7" t="s">
        <x:v>614</x:v>
      </x:c>
      <x:c r="U25" s="6" t="str">
        <x:f t="shared" si="0"/>
        <x:v>Sin ejecutar</x:v>
      </x:c>
      <x:c r="V25" s="8"/>
      <x:c r="W25" s="7"/>
      <x:c r="X25" s="8"/>
    </x:row>
    <x:row r="26" ht="35.099998474121094" customHeight="1">
      <x:c r="A26" s="5" t="s">
        <x:v>710</x:v>
      </x:c>
      <x:c r="B26" s="5" t="s">
        <x:v>101</x:v>
      </x:c>
      <x:c r="C26" s="5" t="s">
        <x:v>711</x:v>
      </x:c>
      <x:c r="D26" s="5" t="s">
        <x:v>610</x:v>
      </x:c>
      <x:c r="E26" s="5" t="s">
        <x:v>712</x:v>
      </x:c>
      <x:c r="F26" s="5" t="s">
        <x:v>713</x:v>
      </x:c>
      <x:c r="G26" s="5" t="s">
        <x:v>714</x:v>
      </x:c>
      <x:c r="H26" s="5" t="s">
        <x:v>138</x:v>
      </x:c>
      <x:c r="I26" s="5" t="s">
        <x:v>139</x:v>
      </x:c>
      <x:c r="J26" s="7"/>
      <x:c r="K26" s="7"/>
      <x:c r="L26" s="7"/>
      <x:c r="M26" s="7"/>
      <x:c r="N26" s="8"/>
      <x:c r="O26" s="7"/>
      <x:c r="P26" s="7"/>
      <x:c r="Q26" s="7"/>
      <x:c r="R26" s="7"/>
      <x:c r="S26" s="7"/>
      <x:c r="T26" s="7" t="s">
        <x:v>614</x:v>
      </x:c>
      <x:c r="U26" s="5" t="str">
        <x:f t="shared" si="0"/>
        <x:v>Sin ejecutar</x:v>
      </x:c>
      <x:c r="V26" s="8"/>
      <x:c r="W26" s="7"/>
      <x:c r="X26" s="8"/>
    </x:row>
    <x:row r="27" ht="35.099998474121094" customHeight="1">
      <x:c r="A27" s="6" t="s">
        <x:v>715</x:v>
      </x:c>
      <x:c r="B27" s="6" t="s">
        <x:v>101</x:v>
      </x:c>
      <x:c r="C27" s="6" t="s">
        <x:v>716</x:v>
      </x:c>
      <x:c r="D27" s="6" t="s">
        <x:v>610</x:v>
      </x:c>
      <x:c r="E27" s="6" t="s">
        <x:v>717</x:v>
      </x:c>
      <x:c r="F27" s="6" t="s">
        <x:v>718</x:v>
      </x:c>
      <x:c r="G27" s="6" t="s">
        <x:v>719</x:v>
      </x:c>
      <x:c r="H27" s="6" t="s">
        <x:v>138</x:v>
      </x:c>
      <x:c r="I27" s="6" t="s">
        <x:v>139</x:v>
      </x:c>
      <x:c r="J27" s="7"/>
      <x:c r="K27" s="7"/>
      <x:c r="L27" s="7"/>
      <x:c r="M27" s="7"/>
      <x:c r="N27" s="8"/>
      <x:c r="O27" s="7"/>
      <x:c r="P27" s="7"/>
      <x:c r="Q27" s="7"/>
      <x:c r="R27" s="7"/>
      <x:c r="S27" s="7"/>
      <x:c r="T27" s="7" t="s">
        <x:v>614</x:v>
      </x:c>
      <x:c r="U27" s="6" t="str">
        <x:f t="shared" si="0"/>
        <x:v>Sin ejecutar</x:v>
      </x:c>
      <x:c r="V27" s="8"/>
      <x:c r="W27" s="7"/>
      <x:c r="X27" s="8"/>
    </x:row>
    <x:row r="28" ht="35.099998474121094" customHeight="1">
      <x:c r="A28" s="5" t="s">
        <x:v>720</x:v>
      </x:c>
      <x:c r="B28" s="5" t="s">
        <x:v>101</x:v>
      </x:c>
      <x:c r="C28" s="5" t="s">
        <x:v>721</x:v>
      </x:c>
      <x:c r="D28" s="5" t="s">
        <x:v>610</x:v>
      </x:c>
      <x:c r="E28" s="5" t="s">
        <x:v>722</x:v>
      </x:c>
      <x:c r="F28" s="5" t="s">
        <x:v>723</x:v>
      </x:c>
      <x:c r="G28" s="5" t="s">
        <x:v>724</x:v>
      </x:c>
      <x:c r="H28" s="5" t="s">
        <x:v>138</x:v>
      </x:c>
      <x:c r="I28" s="5" t="s">
        <x:v>139</x:v>
      </x:c>
      <x:c r="J28" s="7"/>
      <x:c r="K28" s="7"/>
      <x:c r="L28" s="7"/>
      <x:c r="M28" s="7"/>
      <x:c r="N28" s="8"/>
      <x:c r="O28" s="7"/>
      <x:c r="P28" s="7"/>
      <x:c r="Q28" s="7"/>
      <x:c r="R28" s="7"/>
      <x:c r="S28" s="7"/>
      <x:c r="T28" s="7" t="s">
        <x:v>614</x:v>
      </x:c>
      <x:c r="U28" s="5" t="str">
        <x:f t="shared" si="0"/>
        <x:v>Sin ejecutar</x:v>
      </x:c>
      <x:c r="V28" s="8"/>
      <x:c r="W28" s="7"/>
      <x:c r="X28" s="8"/>
    </x:row>
    <x:row r="29" ht="35.099998474121094" customHeight="1">
      <x:c r="A29" s="6" t="s">
        <x:v>725</x:v>
      </x:c>
      <x:c r="B29" s="6" t="s">
        <x:v>101</x:v>
      </x:c>
      <x:c r="C29" s="6" t="s">
        <x:v>726</x:v>
      </x:c>
      <x:c r="D29" s="6" t="s">
        <x:v>610</x:v>
      </x:c>
      <x:c r="E29" s="6" t="s">
        <x:v>727</x:v>
      </x:c>
      <x:c r="F29" s="6" t="s">
        <x:v>728</x:v>
      </x:c>
      <x:c r="G29" s="6" t="s">
        <x:v>729</x:v>
      </x:c>
      <x:c r="H29" s="6" t="s">
        <x:v>138</x:v>
      </x:c>
      <x:c r="I29" s="6" t="s">
        <x:v>139</x:v>
      </x:c>
      <x:c r="J29" s="7"/>
      <x:c r="K29" s="7"/>
      <x:c r="L29" s="7"/>
      <x:c r="M29" s="7"/>
      <x:c r="N29" s="8"/>
      <x:c r="O29" s="7"/>
      <x:c r="P29" s="7"/>
      <x:c r="Q29" s="7"/>
      <x:c r="R29" s="7"/>
      <x:c r="S29" s="7"/>
      <x:c r="T29" s="7" t="s">
        <x:v>614</x:v>
      </x:c>
      <x:c r="U29" s="6" t="str">
        <x:f t="shared" si="0"/>
        <x:v>Sin ejecutar</x:v>
      </x:c>
      <x:c r="V29" s="8"/>
      <x:c r="W29" s="7"/>
      <x:c r="X29" s="8"/>
    </x:row>
    <x:row r="30" ht="35.099998474121094" customHeight="1">
      <x:c r="A30" s="5" t="s">
        <x:v>730</x:v>
      </x:c>
      <x:c r="B30" s="5" t="s">
        <x:v>101</x:v>
      </x:c>
      <x:c r="C30" s="5" t="s">
        <x:v>731</x:v>
      </x:c>
      <x:c r="D30" s="5" t="s">
        <x:v>610</x:v>
      </x:c>
      <x:c r="E30" s="5" t="s">
        <x:v>732</x:v>
      </x:c>
      <x:c r="F30" s="5" t="s">
        <x:v>733</x:v>
      </x:c>
      <x:c r="G30" s="5" t="s">
        <x:v>734</x:v>
      </x:c>
      <x:c r="H30" s="5" t="s">
        <x:v>138</x:v>
      </x:c>
      <x:c r="I30" s="5" t="s">
        <x:v>139</x:v>
      </x:c>
      <x:c r="J30" s="7"/>
      <x:c r="K30" s="7"/>
      <x:c r="L30" s="7"/>
      <x:c r="M30" s="7"/>
      <x:c r="N30" s="8"/>
      <x:c r="O30" s="7"/>
      <x:c r="P30" s="7"/>
      <x:c r="Q30" s="7"/>
      <x:c r="R30" s="7"/>
      <x:c r="S30" s="7"/>
      <x:c r="T30" s="7" t="s">
        <x:v>614</x:v>
      </x:c>
      <x:c r="U30" s="5" t="str">
        <x:f t="shared" si="0"/>
        <x:v>Sin ejecutar</x:v>
      </x:c>
      <x:c r="V30" s="8"/>
      <x:c r="W30" s="7"/>
      <x:c r="X30" s="8"/>
    </x:row>
    <x:row r="31" ht="35.099998474121094" customHeight="1">
      <x:c r="A31" s="6" t="s">
        <x:v>735</x:v>
      </x:c>
      <x:c r="B31" s="6" t="s">
        <x:v>61</x:v>
      </x:c>
      <x:c r="C31" s="6" t="s">
        <x:v>736</x:v>
      </x:c>
      <x:c r="D31" s="6" t="s">
        <x:v>610</x:v>
      </x:c>
      <x:c r="E31" s="6" t="s">
        <x:v>737</x:v>
      </x:c>
      <x:c r="F31" s="6" t="s">
        <x:v>738</x:v>
      </x:c>
      <x:c r="G31" s="6" t="s">
        <x:v>739</x:v>
      </x:c>
      <x:c r="H31" s="6" t="s">
        <x:v>138</x:v>
      </x:c>
      <x:c r="I31" s="6" t="s">
        <x:v>139</x:v>
      </x:c>
      <x:c r="J31" s="7"/>
      <x:c r="K31" s="7"/>
      <x:c r="L31" s="7"/>
      <x:c r="M31" s="7"/>
      <x:c r="N31" s="8"/>
      <x:c r="O31" s="7"/>
      <x:c r="P31" s="7"/>
      <x:c r="Q31" s="7"/>
      <x:c r="R31" s="7"/>
      <x:c r="S31" s="7"/>
      <x:c r="T31" s="7" t="s">
        <x:v>614</x:v>
      </x:c>
      <x:c r="U31" s="6" t="str">
        <x:f t="shared" si="0"/>
        <x:v>Sin ejecutar</x:v>
      </x:c>
      <x:c r="V31" s="8"/>
      <x:c r="W31" s="7"/>
      <x:c r="X31" s="8"/>
    </x:row>
    <x:row r="32" ht="35.099998474121094" customHeight="1">
      <x:c r="A32" s="5" t="s">
        <x:v>740</x:v>
      </x:c>
      <x:c r="B32" s="5" t="s">
        <x:v>61</x:v>
      </x:c>
      <x:c r="C32" s="5" t="s">
        <x:v>741</x:v>
      </x:c>
      <x:c r="D32" s="5" t="s">
        <x:v>610</x:v>
      </x:c>
      <x:c r="E32" s="5" t="s">
        <x:v>742</x:v>
      </x:c>
      <x:c r="F32" s="5" t="s">
        <x:v>743</x:v>
      </x:c>
      <x:c r="G32" s="5" t="s">
        <x:v>744</x:v>
      </x:c>
      <x:c r="H32" s="5" t="s">
        <x:v>138</x:v>
      </x:c>
      <x:c r="I32" s="5" t="s">
        <x:v>139</x:v>
      </x:c>
      <x:c r="J32" s="7"/>
      <x:c r="K32" s="7"/>
      <x:c r="L32" s="7"/>
      <x:c r="M32" s="7"/>
      <x:c r="N32" s="8"/>
      <x:c r="O32" s="7"/>
      <x:c r="P32" s="7"/>
      <x:c r="Q32" s="7"/>
      <x:c r="R32" s="7"/>
      <x:c r="S32" s="7"/>
      <x:c r="T32" s="7" t="s">
        <x:v>614</x:v>
      </x:c>
      <x:c r="U32" s="5" t="str">
        <x:f t="shared" si="0"/>
        <x:v>Sin ejecutar</x:v>
      </x:c>
      <x:c r="V32" s="8"/>
      <x:c r="W32" s="7"/>
      <x:c r="X32" s="8"/>
    </x:row>
    <x:row r="33" ht="35.099998474121094" customHeight="1">
      <x:c r="A33" s="6" t="s">
        <x:v>745</x:v>
      </x:c>
      <x:c r="B33" s="6" t="s">
        <x:v>61</x:v>
      </x:c>
      <x:c r="C33" s="6" t="s">
        <x:v>746</x:v>
      </x:c>
      <x:c r="D33" s="6" t="s">
        <x:v>610</x:v>
      </x:c>
      <x:c r="E33" s="6" t="s">
        <x:v>747</x:v>
      </x:c>
      <x:c r="F33" s="6" t="s">
        <x:v>748</x:v>
      </x:c>
      <x:c r="G33" s="6" t="s">
        <x:v>749</x:v>
      </x:c>
      <x:c r="H33" s="6" t="s">
        <x:v>138</x:v>
      </x:c>
      <x:c r="I33" s="6" t="s">
        <x:v>139</x:v>
      </x:c>
      <x:c r="J33" s="7"/>
      <x:c r="K33" s="7"/>
      <x:c r="L33" s="7"/>
      <x:c r="M33" s="7"/>
      <x:c r="N33" s="8"/>
      <x:c r="O33" s="7"/>
      <x:c r="P33" s="7"/>
      <x:c r="Q33" s="7"/>
      <x:c r="R33" s="7"/>
      <x:c r="S33" s="7"/>
      <x:c r="T33" s="7" t="s">
        <x:v>614</x:v>
      </x:c>
      <x:c r="U33" s="6" t="str">
        <x:f t="shared" si="0"/>
        <x:v>Sin ejecutar</x:v>
      </x:c>
      <x:c r="V33" s="8"/>
      <x:c r="W33" s="7"/>
      <x:c r="X33" s="8"/>
    </x:row>
    <x:row r="34" ht="35.099998474121094" customHeight="1">
      <x:c r="A34" s="5" t="s">
        <x:v>750</x:v>
      </x:c>
      <x:c r="B34" s="5" t="s">
        <x:v>75</x:v>
      </x:c>
      <x:c r="C34" s="5" t="s">
        <x:v>751</x:v>
      </x:c>
      <x:c r="D34" s="5" t="s">
        <x:v>610</x:v>
      </x:c>
      <x:c r="E34" s="5" t="s">
        <x:v>752</x:v>
      </x:c>
      <x:c r="F34" s="5" t="s">
        <x:v>753</x:v>
      </x:c>
      <x:c r="G34" s="5" t="s">
        <x:v>754</x:v>
      </x:c>
      <x:c r="H34" s="5" t="s">
        <x:v>138</x:v>
      </x:c>
      <x:c r="I34" s="5" t="s">
        <x:v>139</x:v>
      </x:c>
      <x:c r="J34" s="7"/>
      <x:c r="K34" s="7"/>
      <x:c r="L34" s="7"/>
      <x:c r="M34" s="7"/>
      <x:c r="N34" s="8"/>
      <x:c r="O34" s="7"/>
      <x:c r="P34" s="7"/>
      <x:c r="Q34" s="7"/>
      <x:c r="R34" s="7"/>
      <x:c r="S34" s="7"/>
      <x:c r="T34" s="7" t="s">
        <x:v>614</x:v>
      </x:c>
      <x:c r="U34" s="5" t="str">
        <x:f t="shared" si="0"/>
        <x:v>Sin ejecutar</x:v>
      </x:c>
      <x:c r="V34" s="8"/>
      <x:c r="W34" s="7"/>
      <x:c r="X34" s="8"/>
    </x:row>
    <x:row r="35" ht="35.099998474121094" customHeight="1">
      <x:c r="A35" s="6" t="s">
        <x:v>755</x:v>
      </x:c>
      <x:c r="B35" s="6" t="s">
        <x:v>61</x:v>
      </x:c>
      <x:c r="C35" s="6" t="s">
        <x:v>756</x:v>
      </x:c>
      <x:c r="D35" s="6" t="s">
        <x:v>610</x:v>
      </x:c>
      <x:c r="E35" s="6" t="s">
        <x:v>757</x:v>
      </x:c>
      <x:c r="F35" s="6" t="s">
        <x:v>758</x:v>
      </x:c>
      <x:c r="G35" s="6" t="s">
        <x:v>759</x:v>
      </x:c>
      <x:c r="H35" s="6" t="s">
        <x:v>138</x:v>
      </x:c>
      <x:c r="I35" s="6" t="s">
        <x:v>139</x:v>
      </x:c>
      <x:c r="J35" s="7"/>
      <x:c r="K35" s="7"/>
      <x:c r="L35" s="7"/>
      <x:c r="M35" s="7"/>
      <x:c r="N35" s="8"/>
      <x:c r="O35" s="7"/>
      <x:c r="P35" s="7"/>
      <x:c r="Q35" s="7"/>
      <x:c r="R35" s="7"/>
      <x:c r="S35" s="7"/>
      <x:c r="T35" s="7" t="s">
        <x:v>614</x:v>
      </x:c>
      <x:c r="U35" s="6" t="str">
        <x:f t="shared" si="0"/>
        <x:v>Sin ejecutar</x:v>
      </x:c>
      <x:c r="V35" s="8"/>
      <x:c r="W35" s="7"/>
      <x:c r="X35" s="8"/>
    </x:row>
    <x:row r="36" ht="35.099998474121094" customHeight="1">
      <x:c r="A36" s="5" t="s">
        <x:v>760</x:v>
      </x:c>
      <x:c r="B36" s="5" t="s">
        <x:v>63</x:v>
      </x:c>
      <x:c r="C36" s="5" t="s">
        <x:v>761</x:v>
      </x:c>
      <x:c r="D36" s="5" t="s">
        <x:v>610</x:v>
      </x:c>
      <x:c r="E36" s="5" t="s">
        <x:v>762</x:v>
      </x:c>
      <x:c r="F36" s="5" t="s">
        <x:v>763</x:v>
      </x:c>
      <x:c r="G36" s="5" t="s">
        <x:v>764</x:v>
      </x:c>
      <x:c r="H36" s="5" t="s">
        <x:v>138</x:v>
      </x:c>
      <x:c r="I36" s="5" t="s">
        <x:v>139</x:v>
      </x:c>
      <x:c r="J36" s="7"/>
      <x:c r="K36" s="7"/>
      <x:c r="L36" s="7"/>
      <x:c r="M36" s="7"/>
      <x:c r="N36" s="8"/>
      <x:c r="O36" s="7"/>
      <x:c r="P36" s="7"/>
      <x:c r="Q36" s="7"/>
      <x:c r="R36" s="7"/>
      <x:c r="S36" s="7"/>
      <x:c r="T36" s="7" t="s">
        <x:v>614</x:v>
      </x:c>
      <x:c r="U36" s="5" t="str">
        <x:f t="shared" si="0"/>
        <x:v>Sin ejecutar</x:v>
      </x:c>
      <x:c r="V36" s="8"/>
      <x:c r="W36" s="7"/>
      <x:c r="X36" s="8"/>
    </x:row>
    <x:row r="37" ht="35.099998474121094" customHeight="1">
      <x:c r="A37" s="6" t="s">
        <x:v>765</x:v>
      </x:c>
      <x:c r="B37" s="6" t="s">
        <x:v>67</x:v>
      </x:c>
      <x:c r="C37" s="6" t="s">
        <x:v>766</x:v>
      </x:c>
      <x:c r="D37" s="6" t="s">
        <x:v>610</x:v>
      </x:c>
      <x:c r="E37" s="6" t="s">
        <x:v>767</x:v>
      </x:c>
      <x:c r="F37" s="6" t="s">
        <x:v>768</x:v>
      </x:c>
      <x:c r="G37" s="6" t="s">
        <x:v>769</x:v>
      </x:c>
      <x:c r="H37" s="6" t="s">
        <x:v>138</x:v>
      </x:c>
      <x:c r="I37" s="6" t="s">
        <x:v>139</x:v>
      </x:c>
      <x:c r="J37" s="7"/>
      <x:c r="K37" s="7"/>
      <x:c r="L37" s="7"/>
      <x:c r="M37" s="7"/>
      <x:c r="N37" s="8"/>
      <x:c r="O37" s="7"/>
      <x:c r="P37" s="7"/>
      <x:c r="Q37" s="7"/>
      <x:c r="R37" s="7"/>
      <x:c r="S37" s="7"/>
      <x:c r="T37" s="7" t="s">
        <x:v>614</x:v>
      </x:c>
      <x:c r="U37" s="6" t="str">
        <x:f t="shared" si="0"/>
        <x:v>Sin ejecutar</x:v>
      </x:c>
      <x:c r="V37" s="8"/>
      <x:c r="W37" s="7"/>
      <x:c r="X37" s="8"/>
    </x:row>
    <x:row r="38" ht="35.099998474121094" customHeight="1">
      <x:c r="A38" s="5" t="s">
        <x:v>770</x:v>
      </x:c>
      <x:c r="B38" s="5" t="s">
        <x:v>79</x:v>
      </x:c>
      <x:c r="C38" s="5" t="s">
        <x:v>771</x:v>
      </x:c>
      <x:c r="D38" s="5" t="s">
        <x:v>610</x:v>
      </x:c>
      <x:c r="E38" s="5" t="s">
        <x:v>772</x:v>
      </x:c>
      <x:c r="F38" s="5" t="s">
        <x:v>773</x:v>
      </x:c>
      <x:c r="G38" s="5" t="s">
        <x:v>774</x:v>
      </x:c>
      <x:c r="H38" s="5" t="s">
        <x:v>138</x:v>
      </x:c>
      <x:c r="I38" s="5" t="s">
        <x:v>139</x:v>
      </x:c>
      <x:c r="J38" s="7"/>
      <x:c r="K38" s="7"/>
      <x:c r="L38" s="7"/>
      <x:c r="M38" s="7"/>
      <x:c r="N38" s="8"/>
      <x:c r="O38" s="7"/>
      <x:c r="P38" s="7"/>
      <x:c r="Q38" s="7"/>
      <x:c r="R38" s="7"/>
      <x:c r="S38" s="7"/>
      <x:c r="T38" s="7" t="s">
        <x:v>614</x:v>
      </x:c>
      <x:c r="U38" s="5" t="str">
        <x:f t="shared" si="0"/>
        <x:v>Sin ejecutar</x:v>
      </x:c>
      <x:c r="V38" s="8"/>
      <x:c r="W38" s="7"/>
      <x:c r="X38" s="8"/>
    </x:row>
  </x:sheetData>
  <x:conditionalFormatting sqref="R6:R38">
    <x:cfRule type="containsText" dxfId="2" priority="2" operator="containsText" text="Fallido"/>
  </x:conditionalFormatting>
  <x:conditionalFormatting sqref="U6:U38">
    <x:cfRule type="containsText" dxfId="1" priority="1" operator="containsText" text="Falta"/>
  </x:conditionalFormatting>
  <x:dataValidations count="2">
    <x:dataValidation type="list" sqref="R6:R38">
      <x:formula1>"Aprobado,Fallido,Bloqueado"</x:formula1>
    </x:dataValidation>
    <x:dataValidation type="list" sqref="T6:T38">
      <x:formula1>"No ejecutado,Ejecutado"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ac557767c7494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26" customWidth="1"/>
    <x:col min="2" max="2" width="40" customWidth="1"/>
    <x:col min="3" max="4" width="35" customWidth="1"/>
    <x:col min="5" max="5" width="42" customWidth="1"/>
    <x:col min="6" max="6" width="34" customWidth="1"/>
    <x:col min="7" max="7" width="58" customWidth="1"/>
    <x:col min="8" max="8" width="21" customWidth="1"/>
    <x:col min="9" max="9" width="28" customWidth="1"/>
    <x:col min="10" max="10" width="40" customWidth="1"/>
    <x:col min="11" max="11" width="2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775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776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777</x:v>
      </x:c>
      <x:c r="B5" s="4" t="s">
        <x:v>778</x:v>
      </x:c>
      <x:c r="C5" s="4" t="s">
        <x:v>779</x:v>
      </x:c>
      <x:c r="D5" s="4" t="s">
        <x:v>780</x:v>
      </x:c>
      <x:c r="E5" s="4" t="s">
        <x:v>781</x:v>
      </x:c>
      <x:c r="F5" s="4" t="s">
        <x:v>782</x:v>
      </x:c>
      <x:c r="G5" s="4" t="s">
        <x:v>783</x:v>
      </x:c>
      <x:c r="H5" s="4" t="s">
        <x:v>603</x:v>
      </x:c>
      <x:c r="I5" s="4" t="s">
        <x:v>784</x:v>
      </x:c>
      <x:c r="J5" s="4" t="s">
        <x:v>97</x:v>
      </x:c>
      <x:c r="K5" s="4" t="s">
        <x:v>785</x:v>
      </x:c>
    </x:row>
    <x:row r="6" ht="27.950000762939453" customHeight="1">
      <x:c r="A6" s="7"/>
      <x:c r="B6" s="7" t="s">
        <x:v>786</x:v>
      </x:c>
      <x:c r="C6" s="7"/>
      <x:c r="D6" s="7"/>
      <x:c r="E6" s="7"/>
      <x:c r="F6" s="7"/>
      <x:c r="G6" s="7"/>
      <x:c r="H6" s="7" t="s">
        <x:v>530</x:v>
      </x:c>
      <x:c r="I6" s="7"/>
      <x:c r="J6" s="7"/>
      <x:c r="K6" s="8"/>
    </x:row>
    <x:row r="7" ht="27.950000762939453" customHeight="1">
      <x:c r="A7" s="7"/>
      <x:c r="B7" s="7" t="s">
        <x:v>787</x:v>
      </x:c>
      <x:c r="C7" s="7"/>
      <x:c r="D7" s="7"/>
      <x:c r="E7" s="7"/>
      <x:c r="F7" s="7"/>
      <x:c r="G7" s="7"/>
      <x:c r="H7" s="7" t="s">
        <x:v>530</x:v>
      </x:c>
      <x:c r="I7" s="7"/>
      <x:c r="J7" s="7"/>
      <x:c r="K7" s="8"/>
    </x:row>
    <x:row r="8" ht="27.950000762939453" customHeight="1">
      <x:c r="A8" s="7"/>
      <x:c r="B8" s="7" t="s">
        <x:v>788</x:v>
      </x:c>
      <x:c r="C8" s="7"/>
      <x:c r="D8" s="7"/>
      <x:c r="E8" s="7"/>
      <x:c r="F8" s="7"/>
      <x:c r="G8" s="7"/>
      <x:c r="H8" s="7" t="s">
        <x:v>530</x:v>
      </x:c>
      <x:c r="I8" s="7"/>
      <x:c r="J8" s="7"/>
      <x:c r="K8" s="8"/>
    </x:row>
    <x:row r="9" ht="27.950000762939453" customHeight="1">
      <x:c r="A9" s="7"/>
      <x:c r="B9" s="7" t="s">
        <x:v>789</x:v>
      </x:c>
      <x:c r="C9" s="7"/>
      <x:c r="D9" s="7"/>
      <x:c r="E9" s="7"/>
      <x:c r="F9" s="7"/>
      <x:c r="G9" s="7"/>
      <x:c r="H9" s="7" t="s">
        <x:v>530</x:v>
      </x:c>
      <x:c r="I9" s="7"/>
      <x:c r="J9" s="7"/>
      <x:c r="K9" s="8"/>
    </x:row>
    <x:row r="10" ht="27.950000762939453" customHeight="1">
      <x:c r="A10" s="7"/>
      <x:c r="B10" s="7" t="s">
        <x:v>790</x:v>
      </x:c>
      <x:c r="C10" s="7"/>
      <x:c r="D10" s="7"/>
      <x:c r="E10" s="7"/>
      <x:c r="F10" s="7"/>
      <x:c r="G10" s="7"/>
      <x:c r="H10" s="7" t="s">
        <x:v>530</x:v>
      </x:c>
      <x:c r="I10" s="7"/>
      <x:c r="J10" s="7"/>
      <x:c r="K10" s="8"/>
    </x:row>
    <x:row r="11" ht="27.950000762939453" customHeight="1">
      <x:c r="A11" s="7"/>
      <x:c r="B11" s="7" t="s">
        <x:v>791</x:v>
      </x:c>
      <x:c r="C11" s="7"/>
      <x:c r="D11" s="7"/>
      <x:c r="E11" s="7"/>
      <x:c r="F11" s="7"/>
      <x:c r="G11" s="7"/>
      <x:c r="H11" s="7" t="s">
        <x:v>530</x:v>
      </x:c>
      <x:c r="I11" s="7"/>
      <x:c r="J11" s="7"/>
      <x:c r="K11" s="8"/>
    </x:row>
    <x:row r="12" ht="27.950000762939453" customHeight="1">
      <x:c r="A12" s="7"/>
      <x:c r="B12" s="7" t="s">
        <x:v>792</x:v>
      </x:c>
      <x:c r="C12" s="7"/>
      <x:c r="D12" s="7"/>
      <x:c r="E12" s="7"/>
      <x:c r="F12" s="7"/>
      <x:c r="G12" s="7"/>
      <x:c r="H12" s="7" t="s">
        <x:v>530</x:v>
      </x:c>
      <x:c r="I12" s="7"/>
      <x:c r="J12" s="7"/>
      <x:c r="K12" s="8"/>
    </x:row>
    <x:row r="13" ht="27.950000762939453" customHeight="1">
      <x:c r="A13" s="7"/>
      <x:c r="B13" s="7" t="s">
        <x:v>8</x:v>
      </x:c>
      <x:c r="C13" s="7"/>
      <x:c r="D13" s="7"/>
      <x:c r="E13" s="7"/>
      <x:c r="F13" s="7"/>
      <x:c r="G13" s="7"/>
      <x:c r="H13" s="7" t="s">
        <x:v>530</x:v>
      </x:c>
      <x:c r="I13" s="7"/>
      <x:c r="J13" s="7"/>
      <x:c r="K13" s="8"/>
    </x:row>
    <x:row r="14" ht="27.950000762939453" customHeight="1">
      <x:c r="A14" s="7"/>
      <x:c r="B14" s="7" t="s">
        <x:v>793</x:v>
      </x:c>
      <x:c r="C14" s="7"/>
      <x:c r="D14" s="7"/>
      <x:c r="E14" s="7"/>
      <x:c r="F14" s="7"/>
      <x:c r="G14" s="7"/>
      <x:c r="H14" s="7" t="s">
        <x:v>530</x:v>
      </x:c>
      <x:c r="I14" s="7"/>
      <x:c r="J14" s="7"/>
      <x:c r="K14" s="8"/>
    </x:row>
    <x:row r="15" ht="27.950000762939453" customHeight="1">
      <x:c r="A15" s="7"/>
      <x:c r="B15" s="7" t="s">
        <x:v>794</x:v>
      </x:c>
      <x:c r="C15" s="7"/>
      <x:c r="D15" s="7"/>
      <x:c r="E15" s="7"/>
      <x:c r="F15" s="7"/>
      <x:c r="G15" s="7"/>
      <x:c r="H15" s="7" t="s">
        <x:v>530</x:v>
      </x:c>
      <x:c r="I15" s="7"/>
      <x:c r="J15" s="7"/>
      <x:c r="K15" s="8"/>
    </x:row>
    <x:row r="16" ht="27.950000762939453" customHeight="1">
      <x:c r="A16" s="7"/>
      <x:c r="B16" s="7" t="s">
        <x:v>795</x:v>
      </x:c>
      <x:c r="C16" s="7"/>
      <x:c r="D16" s="7"/>
      <x:c r="E16" s="7"/>
      <x:c r="F16" s="7"/>
      <x:c r="G16" s="7"/>
      <x:c r="H16" s="7" t="s">
        <x:v>530</x:v>
      </x:c>
      <x:c r="I16" s="7"/>
      <x:c r="J16" s="7"/>
      <x:c r="K16" s="8"/>
    </x:row>
    <x:row r="17" ht="27.950000762939453" customHeight="1">
      <x:c r="A17" s="7"/>
      <x:c r="B17" s="7" t="s">
        <x:v>796</x:v>
      </x:c>
      <x:c r="C17" s="7"/>
      <x:c r="D17" s="7"/>
      <x:c r="E17" s="7"/>
      <x:c r="F17" s="7"/>
      <x:c r="G17" s="7"/>
      <x:c r="H17" s="7" t="s">
        <x:v>530</x:v>
      </x:c>
      <x:c r="I17" s="7"/>
      <x:c r="J17" s="7"/>
      <x:c r="K17" s="8"/>
    </x:row>
    <x:row r="18" ht="27.950000762939453" customHeight="1">
      <x:c r="A18" s="7"/>
      <x:c r="B18" s="7" t="s">
        <x:v>797</x:v>
      </x:c>
      <x:c r="C18" s="7"/>
      <x:c r="D18" s="7"/>
      <x:c r="E18" s="7"/>
      <x:c r="F18" s="7"/>
      <x:c r="G18" s="7"/>
      <x:c r="H18" s="7" t="s">
        <x:v>530</x:v>
      </x:c>
      <x:c r="I18" s="7"/>
      <x:c r="J18" s="7"/>
      <x:c r="K18" s="8"/>
    </x:row>
    <x:row r="19" ht="27.950000762939453" customHeight="1">
      <x:c r="A19" s="7"/>
      <x:c r="B19" s="7" t="s">
        <x:v>798</x:v>
      </x:c>
      <x:c r="C19" s="7"/>
      <x:c r="D19" s="7"/>
      <x:c r="E19" s="7"/>
      <x:c r="F19" s="7"/>
      <x:c r="G19" s="7"/>
      <x:c r="H19" s="7" t="s">
        <x:v>530</x:v>
      </x:c>
      <x:c r="I19" s="7"/>
      <x:c r="J19" s="7"/>
      <x:c r="K19" s="8"/>
    </x:row>
    <x:row r="20" ht="27.950000762939453" customHeight="1">
      <x:c r="A20" s="7"/>
      <x:c r="B20" s="7" t="s">
        <x:v>799</x:v>
      </x:c>
      <x:c r="C20" s="7"/>
      <x:c r="D20" s="7"/>
      <x:c r="E20" s="7"/>
      <x:c r="F20" s="7"/>
      <x:c r="G20" s="7"/>
      <x:c r="H20" s="7" t="s">
        <x:v>530</x:v>
      </x:c>
      <x:c r="I20" s="7"/>
      <x:c r="J20" s="7"/>
      <x:c r="K20" s="8"/>
    </x:row>
    <x:row r="21" ht="27.950000762939453" customHeight="1">
      <x:c r="A21" s="7"/>
      <x:c r="B21" s="7" t="s">
        <x:v>800</x:v>
      </x:c>
      <x:c r="C21" s="7"/>
      <x:c r="D21" s="7"/>
      <x:c r="E21" s="7"/>
      <x:c r="F21" s="7"/>
      <x:c r="G21" s="7"/>
      <x:c r="H21" s="7" t="s">
        <x:v>530</x:v>
      </x:c>
      <x:c r="I21" s="7"/>
      <x:c r="J21" s="7"/>
      <x:c r="K21" s="8"/>
    </x:row>
    <x:row r="22" ht="27.950000762939453" customHeight="1">
      <x:c r="A22" s="7"/>
      <x:c r="B22" s="7" t="s">
        <x:v>801</x:v>
      </x:c>
      <x:c r="C22" s="7"/>
      <x:c r="D22" s="7"/>
      <x:c r="E22" s="7"/>
      <x:c r="F22" s="7"/>
      <x:c r="G22" s="7"/>
      <x:c r="H22" s="7" t="s">
        <x:v>530</x:v>
      </x:c>
      <x:c r="I22" s="7"/>
      <x:c r="J22" s="7"/>
      <x:c r="K22" s="8"/>
    </x:row>
    <x:row r="23" ht="27.950000762939453" customHeight="1">
      <x:c r="A23" s="7"/>
      <x:c r="B23" s="7" t="s">
        <x:v>802</x:v>
      </x:c>
      <x:c r="C23" s="7"/>
      <x:c r="D23" s="7"/>
      <x:c r="E23" s="7"/>
      <x:c r="F23" s="7"/>
      <x:c r="G23" s="7"/>
      <x:c r="H23" s="7" t="s">
        <x:v>530</x:v>
      </x:c>
      <x:c r="I23" s="7"/>
      <x:c r="J23" s="7"/>
      <x:c r="K23" s="8"/>
    </x:row>
  </x:sheetData>
  <x:conditionalFormatting sqref="H6:H23">
    <x:cfRule type="containsText" dxfId="0" priority="1" operator="containsText" text="Fuera"/>
  </x:conditionalFormatting>
  <x:dataValidations count="1">
    <x:dataValidation type="list" sqref="H6:H23">
      <x:formula1>"Pendiente,Coincide,Dentro de tolerancia,Fuera de tolerancia"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3f639c09074e7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2" customWidth="1"/>
    <x:col min="2" max="2" width="16" customWidth="1"/>
    <x:col min="3" max="3" width="27" customWidth="1"/>
    <x:col min="4" max="4" width="65.125" customWidth="1"/>
    <x:col min="5" max="5" width="34" customWidth="1"/>
    <x:col min="6" max="6" width="20" customWidth="1"/>
    <x:col min="7" max="7" width="23" customWidth="1"/>
    <x:col min="8" max="8" width="60" customWidth="1"/>
    <x:col min="9" max="9" width="27" customWidth="1"/>
    <x:col min="10" max="10" width="40" customWidth="1"/>
    <x:col min="11" max="11" width="2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803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804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86</x:v>
      </x:c>
      <x:c r="B5" s="4" t="s">
        <x:v>805</x:v>
      </x:c>
      <x:c r="C5" s="4" t="s">
        <x:v>806</x:v>
      </x:c>
      <x:c r="D5" s="4" t="s">
        <x:v>807</x:v>
      </x:c>
      <x:c r="E5" s="4" t="s">
        <x:v>808</x:v>
      </x:c>
      <x:c r="F5" s="4" t="s">
        <x:v>809</x:v>
      </x:c>
      <x:c r="G5" s="4" t="s">
        <x:v>810</x:v>
      </x:c>
      <x:c r="H5" s="4" t="s">
        <x:v>811</x:v>
      </x:c>
      <x:c r="I5" s="4" t="s">
        <x:v>812</x:v>
      </x:c>
      <x:c r="J5" s="4" t="s">
        <x:v>97</x:v>
      </x:c>
      <x:c r="K5" s="4" t="s">
        <x:v>813</x:v>
      </x:c>
    </x:row>
    <x:row r="6" ht="35.099998474121094" customHeight="1">
      <x:c r="A6" s="5" t="s">
        <x:v>43</x:v>
      </x:c>
      <x:c r="B6" s="5" t="s">
        <x:v>814</x:v>
      </x:c>
      <x:c r="C6" s="7"/>
      <x:c r="D6" s="7" t="s">
        <x:v>254</x:v>
      </x:c>
      <x:c r="E6" s="7"/>
      <x:c r="F6" s="8"/>
      <x:c r="G6" s="7" t="s">
        <x:v>815</x:v>
      </x:c>
      <x:c r="H6" s="7"/>
      <x:c r="I6" s="7"/>
      <x:c r="J6" s="7"/>
      <x:c r="K6" s="8"/>
    </x:row>
    <x:row r="7" ht="35.099998474121094" customHeight="1">
      <x:c r="A7" s="6" t="s">
        <x:v>43</x:v>
      </x:c>
      <x:c r="B7" s="6" t="s">
        <x:v>816</x:v>
      </x:c>
      <x:c r="C7" s="7"/>
      <x:c r="D7" s="7" t="s">
        <x:v>254</x:v>
      </x:c>
      <x:c r="E7" s="7"/>
      <x:c r="F7" s="8"/>
      <x:c r="G7" s="7" t="s">
        <x:v>815</x:v>
      </x:c>
      <x:c r="H7" s="7"/>
      <x:c r="I7" s="7"/>
      <x:c r="J7" s="7"/>
      <x:c r="K7" s="8"/>
    </x:row>
    <x:row r="8" ht="35.099998474121094" customHeight="1">
      <x:c r="A8" s="5" t="s">
        <x:v>49</x:v>
      </x:c>
      <x:c r="B8" s="5" t="s">
        <x:v>814</x:v>
      </x:c>
      <x:c r="C8" s="7"/>
      <x:c r="D8" s="7" t="s">
        <x:v>285</x:v>
      </x:c>
      <x:c r="E8" s="7"/>
      <x:c r="F8" s="8"/>
      <x:c r="G8" s="7" t="s">
        <x:v>815</x:v>
      </x:c>
      <x:c r="H8" s="7"/>
      <x:c r="I8" s="7"/>
      <x:c r="J8" s="7"/>
      <x:c r="K8" s="8"/>
    </x:row>
    <x:row r="9" ht="35.099998474121094" customHeight="1">
      <x:c r="A9" s="6" t="s">
        <x:v>49</x:v>
      </x:c>
      <x:c r="B9" s="6" t="s">
        <x:v>816</x:v>
      </x:c>
      <x:c r="C9" s="7"/>
      <x:c r="D9" s="7" t="s">
        <x:v>285</x:v>
      </x:c>
      <x:c r="E9" s="7"/>
      <x:c r="F9" s="8"/>
      <x:c r="G9" s="7" t="s">
        <x:v>815</x:v>
      </x:c>
      <x:c r="H9" s="7"/>
      <x:c r="I9" s="7"/>
      <x:c r="J9" s="7"/>
      <x:c r="K9" s="8"/>
    </x:row>
    <x:row r="10" ht="35.099998474121094" customHeight="1">
      <x:c r="A10" s="5" t="s">
        <x:v>53</x:v>
      </x:c>
      <x:c r="B10" s="5" t="s">
        <x:v>814</x:v>
      </x:c>
      <x:c r="C10" s="7"/>
      <x:c r="D10" s="7" t="s">
        <x:v>303</x:v>
      </x:c>
      <x:c r="E10" s="7"/>
      <x:c r="F10" s="8"/>
      <x:c r="G10" s="7" t="s">
        <x:v>815</x:v>
      </x:c>
      <x:c r="H10" s="7"/>
      <x:c r="I10" s="7"/>
      <x:c r="J10" s="7"/>
      <x:c r="K10" s="8"/>
    </x:row>
    <x:row r="11" ht="35.099998474121094" customHeight="1">
      <x:c r="A11" s="6" t="s">
        <x:v>53</x:v>
      </x:c>
      <x:c r="B11" s="6" t="s">
        <x:v>816</x:v>
      </x:c>
      <x:c r="C11" s="7"/>
      <x:c r="D11" s="7" t="s">
        <x:v>303</x:v>
      </x:c>
      <x:c r="E11" s="7"/>
      <x:c r="F11" s="8"/>
      <x:c r="G11" s="7" t="s">
        <x:v>815</x:v>
      </x:c>
      <x:c r="H11" s="7"/>
      <x:c r="I11" s="7"/>
      <x:c r="J11" s="7"/>
      <x:c r="K11" s="8"/>
    </x:row>
    <x:row r="12" ht="35.099998474121094" customHeight="1">
      <x:c r="A12" s="5" t="s">
        <x:v>57</x:v>
      </x:c>
      <x:c r="B12" s="5" t="s">
        <x:v>814</x:v>
      </x:c>
      <x:c r="C12" s="7"/>
      <x:c r="D12" s="7" t="s">
        <x:v>320</x:v>
      </x:c>
      <x:c r="E12" s="7"/>
      <x:c r="F12" s="8"/>
      <x:c r="G12" s="7" t="s">
        <x:v>815</x:v>
      </x:c>
      <x:c r="H12" s="7"/>
      <x:c r="I12" s="7"/>
      <x:c r="J12" s="7"/>
      <x:c r="K12" s="8"/>
    </x:row>
    <x:row r="13" ht="35.099998474121094" customHeight="1">
      <x:c r="A13" s="6" t="s">
        <x:v>57</x:v>
      </x:c>
      <x:c r="B13" s="6" t="s">
        <x:v>816</x:v>
      </x:c>
      <x:c r="C13" s="7"/>
      <x:c r="D13" s="7" t="s">
        <x:v>320</x:v>
      </x:c>
      <x:c r="E13" s="7"/>
      <x:c r="F13" s="8"/>
      <x:c r="G13" s="7" t="s">
        <x:v>815</x:v>
      </x:c>
      <x:c r="H13" s="7"/>
      <x:c r="I13" s="7"/>
      <x:c r="J13" s="7"/>
      <x:c r="K13" s="8"/>
    </x:row>
    <x:row r="14" ht="35.099998474121094" customHeight="1">
      <x:c r="A14" s="5" t="s">
        <x:v>61</x:v>
      </x:c>
      <x:c r="B14" s="5" t="s">
        <x:v>814</x:v>
      </x:c>
      <x:c r="C14" s="7"/>
      <x:c r="D14" s="7" t="s">
        <x:v>337</x:v>
      </x:c>
      <x:c r="E14" s="7"/>
      <x:c r="F14" s="8"/>
      <x:c r="G14" s="7" t="s">
        <x:v>815</x:v>
      </x:c>
      <x:c r="H14" s="7"/>
      <x:c r="I14" s="7"/>
      <x:c r="J14" s="7"/>
      <x:c r="K14" s="8"/>
    </x:row>
    <x:row r="15" ht="35.099998474121094" customHeight="1">
      <x:c r="A15" s="6" t="s">
        <x:v>61</x:v>
      </x:c>
      <x:c r="B15" s="6" t="s">
        <x:v>816</x:v>
      </x:c>
      <x:c r="C15" s="7"/>
      <x:c r="D15" s="7" t="s">
        <x:v>337</x:v>
      </x:c>
      <x:c r="E15" s="7"/>
      <x:c r="F15" s="8"/>
      <x:c r="G15" s="7" t="s">
        <x:v>815</x:v>
      </x:c>
      <x:c r="H15" s="7"/>
      <x:c r="I15" s="7"/>
      <x:c r="J15" s="7"/>
      <x:c r="K15" s="8"/>
    </x:row>
    <x:row r="16" ht="35.099998474121094" customHeight="1">
      <x:c r="A16" s="5" t="s">
        <x:v>63</x:v>
      </x:c>
      <x:c r="B16" s="5" t="s">
        <x:v>814</x:v>
      </x:c>
      <x:c r="C16" s="7"/>
      <x:c r="D16" s="7" t="s">
        <x:v>354</x:v>
      </x:c>
      <x:c r="E16" s="7"/>
      <x:c r="F16" s="8"/>
      <x:c r="G16" s="7" t="s">
        <x:v>815</x:v>
      </x:c>
      <x:c r="H16" s="7"/>
      <x:c r="I16" s="7"/>
      <x:c r="J16" s="7"/>
      <x:c r="K16" s="8"/>
    </x:row>
    <x:row r="17" ht="35.099998474121094" customHeight="1">
      <x:c r="A17" s="6" t="s">
        <x:v>63</x:v>
      </x:c>
      <x:c r="B17" s="6" t="s">
        <x:v>816</x:v>
      </x:c>
      <x:c r="C17" s="7"/>
      <x:c r="D17" s="7" t="s">
        <x:v>354</x:v>
      </x:c>
      <x:c r="E17" s="7"/>
      <x:c r="F17" s="8"/>
      <x:c r="G17" s="7" t="s">
        <x:v>815</x:v>
      </x:c>
      <x:c r="H17" s="7"/>
      <x:c r="I17" s="7"/>
      <x:c r="J17" s="7"/>
      <x:c r="K17" s="8"/>
    </x:row>
    <x:row r="18" ht="35.099998474121094" customHeight="1">
      <x:c r="A18" s="5" t="s">
        <x:v>67</x:v>
      </x:c>
      <x:c r="B18" s="5" t="s">
        <x:v>814</x:v>
      </x:c>
      <x:c r="C18" s="7"/>
      <x:c r="D18" s="7" t="s">
        <x:v>371</x:v>
      </x:c>
      <x:c r="E18" s="7"/>
      <x:c r="F18" s="8"/>
      <x:c r="G18" s="7" t="s">
        <x:v>815</x:v>
      </x:c>
      <x:c r="H18" s="7"/>
      <x:c r="I18" s="7"/>
      <x:c r="J18" s="7"/>
      <x:c r="K18" s="8"/>
    </x:row>
    <x:row r="19" ht="35.099998474121094" customHeight="1">
      <x:c r="A19" s="6" t="s">
        <x:v>67</x:v>
      </x:c>
      <x:c r="B19" s="6" t="s">
        <x:v>816</x:v>
      </x:c>
      <x:c r="C19" s="7"/>
      <x:c r="D19" s="7" t="s">
        <x:v>371</x:v>
      </x:c>
      <x:c r="E19" s="7"/>
      <x:c r="F19" s="8"/>
      <x:c r="G19" s="7" t="s">
        <x:v>815</x:v>
      </x:c>
      <x:c r="H19" s="7"/>
      <x:c r="I19" s="7"/>
      <x:c r="J19" s="7"/>
      <x:c r="K19" s="8"/>
    </x:row>
    <x:row r="20" ht="35.099998474121094" customHeight="1">
      <x:c r="A20" s="5" t="s">
        <x:v>71</x:v>
      </x:c>
      <x:c r="B20" s="5" t="s">
        <x:v>814</x:v>
      </x:c>
      <x:c r="C20" s="7"/>
      <x:c r="D20" s="7" t="s">
        <x:v>388</x:v>
      </x:c>
      <x:c r="E20" s="7"/>
      <x:c r="F20" s="8"/>
      <x:c r="G20" s="7" t="s">
        <x:v>815</x:v>
      </x:c>
      <x:c r="H20" s="7"/>
      <x:c r="I20" s="7"/>
      <x:c r="J20" s="7"/>
      <x:c r="K20" s="8"/>
    </x:row>
    <x:row r="21" ht="35.099998474121094" customHeight="1">
      <x:c r="A21" s="6" t="s">
        <x:v>71</x:v>
      </x:c>
      <x:c r="B21" s="6" t="s">
        <x:v>816</x:v>
      </x:c>
      <x:c r="C21" s="7"/>
      <x:c r="D21" s="7" t="s">
        <x:v>388</x:v>
      </x:c>
      <x:c r="E21" s="7"/>
      <x:c r="F21" s="8"/>
      <x:c r="G21" s="7" t="s">
        <x:v>815</x:v>
      </x:c>
      <x:c r="H21" s="7"/>
      <x:c r="I21" s="7"/>
      <x:c r="J21" s="7"/>
      <x:c r="K21" s="8"/>
    </x:row>
    <x:row r="22" ht="35.099998474121094" customHeight="1">
      <x:c r="A22" s="5" t="s">
        <x:v>75</x:v>
      </x:c>
      <x:c r="B22" s="5" t="s">
        <x:v>814</x:v>
      </x:c>
      <x:c r="C22" s="7"/>
      <x:c r="D22" s="7" t="s">
        <x:v>405</x:v>
      </x:c>
      <x:c r="E22" s="7"/>
      <x:c r="F22" s="8"/>
      <x:c r="G22" s="7" t="s">
        <x:v>815</x:v>
      </x:c>
      <x:c r="H22" s="7"/>
      <x:c r="I22" s="7"/>
      <x:c r="J22" s="7"/>
      <x:c r="K22" s="8"/>
    </x:row>
    <x:row r="23" ht="35.099998474121094" customHeight="1">
      <x:c r="A23" s="6" t="s">
        <x:v>75</x:v>
      </x:c>
      <x:c r="B23" s="6" t="s">
        <x:v>816</x:v>
      </x:c>
      <x:c r="C23" s="7"/>
      <x:c r="D23" s="7" t="s">
        <x:v>405</x:v>
      </x:c>
      <x:c r="E23" s="7"/>
      <x:c r="F23" s="8"/>
      <x:c r="G23" s="7" t="s">
        <x:v>815</x:v>
      </x:c>
      <x:c r="H23" s="7"/>
      <x:c r="I23" s="7"/>
      <x:c r="J23" s="7"/>
      <x:c r="K23" s="8"/>
    </x:row>
    <x:row r="24" ht="35.099998474121094" customHeight="1">
      <x:c r="A24" s="5" t="s">
        <x:v>79</x:v>
      </x:c>
      <x:c r="B24" s="5" t="s">
        <x:v>814</x:v>
      </x:c>
      <x:c r="C24" s="7"/>
      <x:c r="D24" s="7" t="s">
        <x:v>421</x:v>
      </x:c>
      <x:c r="E24" s="7"/>
      <x:c r="F24" s="8"/>
      <x:c r="G24" s="7" t="s">
        <x:v>815</x:v>
      </x:c>
      <x:c r="H24" s="7"/>
      <x:c r="I24" s="7"/>
      <x:c r="J24" s="7"/>
      <x:c r="K24" s="8"/>
    </x:row>
    <x:row r="25" ht="35.099998474121094" customHeight="1">
      <x:c r="A25" s="6" t="s">
        <x:v>79</x:v>
      </x:c>
      <x:c r="B25" s="6" t="s">
        <x:v>816</x:v>
      </x:c>
      <x:c r="C25" s="7"/>
      <x:c r="D25" s="7" t="s">
        <x:v>421</x:v>
      </x:c>
      <x:c r="E25" s="7"/>
      <x:c r="F25" s="8"/>
      <x:c r="G25" s="7" t="s">
        <x:v>815</x:v>
      </x:c>
      <x:c r="H25" s="7"/>
      <x:c r="I25" s="7"/>
      <x:c r="J25" s="7"/>
      <x:c r="K25" s="8"/>
    </x:row>
    <x:row r="26">
      <x:c r="A26" s="6" t="str">
        <x:v>TRANSVERSAL</x:v>
      </x:c>
      <x:c r="B26" s="6" t="str">
        <x:v>CMZ</x:v>
      </x:c>
      <x:c r="C26" s="41" t="str">
        <x:v>Pablo Duplessy (propuesto)</x:v>
      </x:c>
      <x:c r="D26" s="41" t="str">
        <x:v>Planificar sesiones y práctica, seguir aptitud y brechas sin confundir asistencia con competencia.</x:v>
      </x:c>
      <x:c r="E26" s="41" t="str"/>
      <x:c r="F26" s="43"/>
      <x:c r="G26" s="41" t="str">
        <x:v>No evaluado</x:v>
      </x:c>
      <x:c r="H26" s="41" t="str"/>
      <x:c r="I26" s="41" t="str"/>
      <x:c r="J26" s="41" t="str"/>
      <x:c r="K26" s="43"/>
    </x:row>
    <x:row r="27">
      <x:c r="A27" s="6" t="str">
        <x:v>TRANSVERSAL</x:v>
      </x:c>
      <x:c r="B27" s="6" t="str">
        <x:v>CIO</x:v>
      </x:c>
      <x:c r="C27" s="41" t="str">
        <x:v>Guillermo Añaños (propuesto)</x:v>
      </x:c>
      <x:c r="D27" s="41" t="str">
        <x:v>Acordar equipo IT operativo, cobertura y vía de escalación para cada ventana.</x:v>
      </x:c>
      <x:c r="E27" s="41" t="str"/>
      <x:c r="F27" s="43"/>
      <x:c r="G27" s="41" t="str">
        <x:v>No evaluado</x:v>
      </x:c>
      <x:c r="H27" s="41" t="str"/>
      <x:c r="I27" s="41" t="str"/>
      <x:c r="J27" s="41" t="str"/>
      <x:c r="K27" s="43"/>
    </x:row>
    <x:row r="28">
      <x:c r="A28" s="6" t="str">
        <x:v>TRANSVERSAL</x:v>
      </x:c>
      <x:c r="B28" s="6" t="str">
        <x:v>ZT</x:v>
      </x:c>
      <x:c r="C28" s="41" t="str">
        <x:v>Alejandro Ledesma / Eduardo Ettlin (propuestos)</x:v>
      </x:c>
      <x:c r="D28" s="41" t="str">
        <x:v>Demostrar integración, diagnóstico L2, recuperación y titular técnico por circuito.</x:v>
      </x:c>
      <x:c r="E28" s="41" t="str"/>
      <x:c r="F28" s="43"/>
      <x:c r="G28" s="41" t="str">
        <x:v>No evaluado</x:v>
      </x:c>
      <x:c r="H28" s="41" t="str"/>
      <x:c r="I28" s="41" t="str"/>
      <x:c r="J28" s="41" t="str"/>
      <x:c r="K28" s="43"/>
    </x:row>
  </x:sheetData>
  <x:dataValidations count="2">
    <x:dataValidation type="list" sqref="G6:G25">
      <x:formula1>"No evaluado,Apto,Requiere práctica"</x:formula1>
    </x:dataValidation>
    <x:dataValidation type="list" sqref="G26:G28">
      <x:formula1>"No evaluado,Apto,Requiere práctica"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b7c2286f73487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2" customWidth="1"/>
    <x:col min="2" max="2" width="41.875" customWidth="1"/>
    <x:col min="3" max="3" width="10" customWidth="1"/>
    <x:col min="4" max="4" width="25.5" customWidth="1"/>
    <x:col min="5" max="5" width="15.125" customWidth="1"/>
    <x:col min="6" max="6" width="58" customWidth="1"/>
    <x:col min="7" max="7" width="24" customWidth="1"/>
    <x:col min="8" max="8" width="70" customWidth="1"/>
    <x:col min="9" max="9" width="28" customWidth="1"/>
    <x:col min="10" max="10" width="19" customWidth="1"/>
    <x:col min="11" max="11" width="4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817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818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26</x:v>
      </x:c>
      <x:c r="B5" s="4" t="s">
        <x:v>819</x:v>
      </x:c>
      <x:c r="C5" s="4" t="s">
        <x:v>90</x:v>
      </x:c>
      <x:c r="D5" s="4" t="s">
        <x:v>92</x:v>
      </x:c>
      <x:c r="E5" s="4" t="s">
        <x:v>94</x:v>
      </x:c>
      <x:c r="F5" s="4" t="s">
        <x:v>820</x:v>
      </x:c>
      <x:c r="G5" s="4" t="s">
        <x:v>523</x:v>
      </x:c>
      <x:c r="H5" s="4" t="s">
        <x:v>821</x:v>
      </x:c>
      <x:c r="I5" s="4" t="s">
        <x:v>822</x:v>
      </x:c>
      <x:c r="J5" s="4" t="s">
        <x:v>823</x:v>
      </x:c>
      <x:c r="K5" s="4" t="s">
        <x:v>97</x:v>
      </x:c>
    </x:row>
    <x:row r="6" ht="35.099998474121094" customHeight="1">
      <x:c r="A6" s="5" t="s">
        <x:v>824</x:v>
      </x:c>
      <x:c r="B6" s="5" t="s">
        <x:v>825</x:v>
      </x:c>
      <x:c r="C6" s="5" t="s">
        <x:v>105</x:v>
      </x:c>
      <x:c r="D6" s="5" t="s">
        <x:v>826</x:v>
      </x:c>
      <x:c r="E6" s="7" t="s">
        <x:v>827</x:v>
      </x:c>
      <x:c r="F6" s="7" t="s">
        <x:v>828</x:v>
      </x:c>
      <x:c r="G6" s="7" t="s">
        <x:v>829</x:v>
      </x:c>
      <x:c r="H6" s="7"/>
      <x:c r="I6" s="7"/>
      <x:c r="J6" s="8"/>
      <x:c r="K6" s="7"/>
    </x:row>
    <x:row r="7" ht="27.950000762939453" customHeight="1">
      <x:c r="A7" s="6" t="s">
        <x:v>830</x:v>
      </x:c>
      <x:c r="B7" s="6" t="s">
        <x:v>831</x:v>
      </x:c>
      <x:c r="C7" s="6" t="s">
        <x:v>105</x:v>
      </x:c>
      <x:c r="D7" s="6" t="s">
        <x:v>832</x:v>
      </x:c>
      <x:c r="E7" s="7" t="s">
        <x:v>827</x:v>
      </x:c>
      <x:c r="F7" s="7" t="s">
        <x:v>833</x:v>
      </x:c>
      <x:c r="G7" s="7" t="s">
        <x:v>834</x:v>
      </x:c>
      <x:c r="H7" s="7"/>
      <x:c r="I7" s="7"/>
      <x:c r="J7" s="8"/>
      <x:c r="K7" s="7"/>
    </x:row>
    <x:row r="8" ht="27.950000762939453" customHeight="1">
      <x:c r="A8" s="5" t="s">
        <x:v>835</x:v>
      </x:c>
      <x:c r="B8" s="5" t="s">
        <x:v>836</x:v>
      </x:c>
      <x:c r="C8" s="5" t="s">
        <x:v>105</x:v>
      </x:c>
      <x:c r="D8" s="5" t="s">
        <x:v>832</x:v>
      </x:c>
      <x:c r="E8" s="7" t="s">
        <x:v>827</x:v>
      </x:c>
      <x:c r="F8" s="7" t="s">
        <x:v>837</x:v>
      </x:c>
      <x:c r="G8" s="7" t="s">
        <x:v>834</x:v>
      </x:c>
      <x:c r="H8" s="7"/>
      <x:c r="I8" s="7"/>
      <x:c r="J8" s="8"/>
      <x:c r="K8" s="7"/>
    </x:row>
    <x:row r="9" ht="27.950000762939453" customHeight="1">
      <x:c r="A9" s="6" t="s">
        <x:v>838</x:v>
      </x:c>
      <x:c r="B9" s="6" t="s">
        <x:v>839</x:v>
      </x:c>
      <x:c r="C9" s="6" t="s">
        <x:v>105</x:v>
      </x:c>
      <x:c r="D9" s="6" t="s">
        <x:v>122</x:v>
      </x:c>
      <x:c r="E9" s="7" t="s">
        <x:v>827</x:v>
      </x:c>
      <x:c r="F9" s="7" t="str">
        <x:v>Nombrar líder IT operativo, suplente, guardia por ventana y canal. Confirmar enlace CIO sin confundir ambos roles.</x:v>
      </x:c>
      <x:c r="G9" s="7" t="str">
        <x:v>S01; S09; S31</x:v>
      </x:c>
      <x:c r="H9" s="7"/>
      <x:c r="I9" s="7"/>
      <x:c r="J9" s="8"/>
      <x:c r="K9" s="7"/>
    </x:row>
    <x:row r="10" ht="27.950000762939453" customHeight="1">
      <x:c r="A10" s="5" t="s">
        <x:v>840</x:v>
      </x:c>
      <x:c r="B10" s="5" t="s">
        <x:v>841</x:v>
      </x:c>
      <x:c r="C10" s="5" t="s">
        <x:v>105</x:v>
      </x:c>
      <x:c r="D10" s="5" t="s">
        <x:v>842</x:v>
      </x:c>
      <x:c r="E10" s="7" t="s">
        <x:v>827</x:v>
      </x:c>
      <x:c r="F10" s="7" t="s">
        <x:v>843</x:v>
      </x:c>
      <x:c r="G10" s="7" t="s">
        <x:v>844</x:v>
      </x:c>
      <x:c r="H10" s="7"/>
      <x:c r="I10" s="7"/>
      <x:c r="J10" s="8"/>
      <x:c r="K10" s="7"/>
    </x:row>
    <x:row r="11" ht="35.099998474121094" customHeight="1">
      <x:c r="A11" s="6" t="s">
        <x:v>845</x:v>
      </x:c>
      <x:c r="B11" s="6" t="s">
        <x:v>846</x:v>
      </x:c>
      <x:c r="C11" s="6" t="s">
        <x:v>139</x:v>
      </x:c>
      <x:c r="D11" s="6" t="s">
        <x:v>156</x:v>
      </x:c>
      <x:c r="E11" s="7" t="s">
        <x:v>827</x:v>
      </x:c>
      <x:c r="F11" s="7" t="s">
        <x:v>847</x:v>
      </x:c>
      <x:c r="G11" s="7" t="s">
        <x:v>848</x:v>
      </x:c>
      <x:c r="H11" s="7"/>
      <x:c r="I11" s="7"/>
      <x:c r="J11" s="8"/>
      <x:c r="K11" s="7"/>
    </x:row>
    <x:row r="12" ht="35.099998474121094" customHeight="1">
      <x:c r="A12" s="5" t="s">
        <x:v>849</x:v>
      </x:c>
      <x:c r="B12" s="5" t="s">
        <x:v>850</x:v>
      </x:c>
      <x:c r="C12" s="5" t="s">
        <x:v>139</x:v>
      </x:c>
      <x:c r="D12" s="5" t="s">
        <x:v>851</x:v>
      </x:c>
      <x:c r="E12" s="7" t="s">
        <x:v>827</x:v>
      </x:c>
      <x:c r="F12" s="7" t="s">
        <x:v>852</x:v>
      </x:c>
      <x:c r="G12" s="7" t="s">
        <x:v>532</x:v>
      </x:c>
      <x:c r="H12" s="7"/>
      <x:c r="I12" s="7"/>
      <x:c r="J12" s="8"/>
      <x:c r="K12" s="7"/>
    </x:row>
    <x:row r="13" ht="27.950000762939453" customHeight="1">
      <x:c r="A13" s="6" t="s">
        <x:v>853</x:v>
      </x:c>
      <x:c r="B13" s="6" t="s">
        <x:v>854</x:v>
      </x:c>
      <x:c r="C13" s="6" t="s">
        <x:v>105</x:v>
      </x:c>
      <x:c r="D13" s="6" t="s">
        <x:v>832</x:v>
      </x:c>
      <x:c r="E13" s="7" t="s">
        <x:v>827</x:v>
      </x:c>
      <x:c r="F13" s="7" t="s">
        <x:v>855</x:v>
      </x:c>
      <x:c r="G13" s="7" t="s">
        <x:v>844</x:v>
      </x:c>
      <x:c r="H13" s="7"/>
      <x:c r="I13" s="7"/>
      <x:c r="J13" s="8"/>
      <x:c r="K13" s="7"/>
    </x:row>
    <x:row r="14" ht="27.950000762939453" customHeight="1">
      <x:c r="A14" s="5" t="s">
        <x:v>856</x:v>
      </x:c>
      <x:c r="B14" s="5" t="s">
        <x:v>857</x:v>
      </x:c>
      <x:c r="C14" s="5" t="s">
        <x:v>105</x:v>
      </x:c>
      <x:c r="D14" s="5" t="s">
        <x:v>166</x:v>
      </x:c>
      <x:c r="E14" s="7" t="s">
        <x:v>827</x:v>
      </x:c>
      <x:c r="F14" s="7" t="s">
        <x:v>858</x:v>
      </x:c>
      <x:c r="G14" s="7" t="s">
        <x:v>844</x:v>
      </x:c>
      <x:c r="H14" s="7"/>
      <x:c r="I14" s="7"/>
      <x:c r="J14" s="8"/>
      <x:c r="K14" s="7"/>
    </x:row>
    <x:row r="15" ht="35.099998474121094" customHeight="1">
      <x:c r="A15" s="6" t="s">
        <x:v>859</x:v>
      </x:c>
      <x:c r="B15" s="6" t="s">
        <x:v>860</x:v>
      </x:c>
      <x:c r="C15" s="6" t="s">
        <x:v>139</x:v>
      </x:c>
      <x:c r="D15" s="6" t="s">
        <x:v>842</x:v>
      </x:c>
      <x:c r="E15" s="7" t="s">
        <x:v>827</x:v>
      </x:c>
      <x:c r="F15" s="7" t="s">
        <x:v>861</x:v>
      </x:c>
      <x:c r="G15" s="7" t="s">
        <x:v>862</x:v>
      </x:c>
      <x:c r="H15" s="7"/>
      <x:c r="I15" s="7"/>
      <x:c r="J15" s="8"/>
      <x:c r="K15" s="7"/>
    </x:row>
    <x:row r="16" ht="35.099998474121094" customHeight="1">
      <x:c r="A16" s="5" t="s">
        <x:v>863</x:v>
      </x:c>
      <x:c r="B16" s="5" t="s">
        <x:v>864</x:v>
      </x:c>
      <x:c r="C16" s="5" t="s">
        <x:v>145</x:v>
      </x:c>
      <x:c r="D16" s="5" t="s">
        <x:v>865</x:v>
      </x:c>
      <x:c r="E16" s="7" t="s">
        <x:v>827</x:v>
      </x:c>
      <x:c r="F16" s="7" t="s">
        <x:v>866</x:v>
      </x:c>
      <x:c r="G16" s="7" t="s">
        <x:v>577</x:v>
      </x:c>
      <x:c r="H16" s="7"/>
      <x:c r="I16" s="7"/>
      <x:c r="J16" s="8"/>
      <x:c r="K16" s="7"/>
    </x:row>
    <x:row r="17" ht="35.099998474121094" customHeight="1">
      <x:c r="A17" s="6" t="s">
        <x:v>867</x:v>
      </x:c>
      <x:c r="B17" s="6" t="s">
        <x:v>868</x:v>
      </x:c>
      <x:c r="C17" s="6" t="s">
        <x:v>112</x:v>
      </x:c>
      <x:c r="D17" s="6" t="s">
        <x:v>869</x:v>
      </x:c>
      <x:c r="E17" s="7" t="s">
        <x:v>827</x:v>
      </x:c>
      <x:c r="F17" s="7" t="s">
        <x:v>870</x:v>
      </x:c>
      <x:c r="G17" s="7" t="s">
        <x:v>871</x:v>
      </x:c>
      <x:c r="H17" s="7"/>
      <x:c r="I17" s="7"/>
      <x:c r="J17" s="8"/>
      <x:c r="K17" s="7"/>
    </x:row>
    <x:row r="18" ht="35.099998474121094" customHeight="1">
      <x:c r="A18" s="5" t="s">
        <x:v>872</x:v>
      </x:c>
      <x:c r="B18" s="5" t="s">
        <x:v>873</x:v>
      </x:c>
      <x:c r="C18" s="5" t="s">
        <x:v>139</x:v>
      </x:c>
      <x:c r="D18" s="5" t="s">
        <x:v>874</x:v>
      </x:c>
      <x:c r="E18" s="7" t="s">
        <x:v>827</x:v>
      </x:c>
      <x:c r="F18" s="7" t="s">
        <x:v>875</x:v>
      </x:c>
      <x:c r="G18" s="7" t="s">
        <x:v>876</x:v>
      </x:c>
      <x:c r="H18" s="7"/>
      <x:c r="I18" s="7"/>
      <x:c r="J18" s="8"/>
      <x:c r="K18" s="7"/>
    </x:row>
    <x:row r="19">
      <x:c r="A19" s="5" t="str">
        <x:v>D14</x:v>
      </x:c>
      <x:c r="B19" s="5" t="str">
        <x:v>Rol CMZ, plan de formación y responsables de adopción</x:v>
      </x:c>
      <x:c r="C19" s="5" t="str">
        <x:v>LZ</x:v>
      </x:c>
      <x:c r="D19" s="5" t="str">
        <x:v>02/11, antes de G0</x:v>
      </x:c>
      <x:c r="E19" s="7" t="str">
        <x:v>Sin decidir</x:v>
      </x:c>
      <x:c r="F19" s="7" t="str">
        <x:v>Confirmar Pablo Duplessy, agenda, RACI, seguimiento de aptitud y límites frente a DP/RF.</x:v>
      </x:c>
      <x:c r="G19" s="7" t="str">
        <x:v>S31; S32</x:v>
      </x:c>
      <x:c r="H19" s="41" t="str"/>
      <x:c r="I19" s="41" t="str"/>
      <x:c r="J19" s="43"/>
      <x:c r="K19" s="41" t="str"/>
    </x:row>
  </x:sheetData>
  <x:dataValidations count="1">
    <x:dataValidation type="list" sqref="E6:E18">
      <x:formula1>"Sin decidir,En análisis,Resuelto"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f9ad7aae934c9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9.25" customWidth="1"/>
    <x:col min="2" max="2" width="18.375" customWidth="1"/>
    <x:col min="3" max="3" width="56.125" customWidth="1"/>
    <x:col min="4" max="4" width="10" customWidth="1"/>
    <x:col min="5" max="5" width="35.375" customWidth="1"/>
    <x:col min="6" max="6" width="30" customWidth="1"/>
    <x:col min="7" max="8" width="20" customWidth="1"/>
    <x:col min="9" max="9" width="28" customWidth="1"/>
    <x:col min="10" max="10" width="18" customWidth="1"/>
    <x:col min="11" max="11" width="6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877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878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879</x:v>
      </x:c>
      <x:c r="B5" s="4" t="s">
        <x:v>810</x:v>
      </x:c>
      <x:c r="C5" s="4" t="s">
        <x:v>880</x:v>
      </x:c>
      <x:c r="D5" s="4" t="s">
        <x:v>90</x:v>
      </x:c>
      <x:c r="E5" s="4" t="s">
        <x:v>881</x:v>
      </x:c>
      <x:c r="F5" s="4" t="s">
        <x:v>882</x:v>
      </x:c>
      <x:c r="G5" s="4" t="s">
        <x:v>596</x:v>
      </x:c>
      <x:c r="H5" s="4" t="s">
        <x:v>883</x:v>
      </x:c>
      <x:c r="I5" s="4" t="s">
        <x:v>822</x:v>
      </x:c>
      <x:c r="J5" s="4" t="s">
        <x:v>526</x:v>
      </x:c>
      <x:c r="K5" s="4" t="s">
        <x:v>884</x:v>
      </x:c>
    </x:row>
    <x:row r="6" ht="27.950000762939453" customHeight="1">
      <x:c r="A6" s="5" t="s">
        <x:v>885</x:v>
      </x:c>
      <x:c r="B6" s="5" t="s">
        <x:v>886</x:v>
      </x:c>
      <x:c r="C6" s="5" t="str">
        <x:v>Alcance B1, roles nominales, tiempo autorizado, responsable IT operativo, coordinación CMZ, piloto y soporte asignados.</x:v>
      </x:c>
      <x:c r="D6" s="5" t="s">
        <x:v>105</x:v>
      </x:c>
      <x:c r="E6" s="5" t="s">
        <x:v>887</x:v>
      </x:c>
      <x:c r="F6" s="7"/>
      <x:c r="G6" s="7"/>
      <x:c r="H6" s="7" t="s">
        <x:v>530</x:v>
      </x:c>
      <x:c r="I6" s="7"/>
      <x:c r="J6" s="8"/>
      <x:c r="K6" s="7"/>
    </x:row>
    <x:row r="7" ht="35.099998474121094" customHeight="1">
      <x:c r="A7" s="6" t="s">
        <x:v>888</x:v>
      </x:c>
      <x:c r="B7" s="6" t="s">
        <x:v>889</x:v>
      </x:c>
      <x:c r="C7" s="6" t="s">
        <x:v>890</x:v>
      </x:c>
      <x:c r="D7" s="6" t="s">
        <x:v>139</x:v>
      </x:c>
      <x:c r="E7" s="6" t="s">
        <x:v>891</x:v>
      </x:c>
      <x:c r="F7" s="7"/>
      <x:c r="G7" s="7"/>
      <x:c r="H7" s="7" t="s">
        <x:v>530</x:v>
      </x:c>
      <x:c r="I7" s="7"/>
      <x:c r="J7" s="8"/>
      <x:c r="K7" s="7"/>
    </x:row>
    <x:row r="8" ht="35.099998474121094" customHeight="1">
      <x:c r="A8" s="5" t="s">
        <x:v>892</x:v>
      </x:c>
      <x:c r="B8" s="5" t="s">
        <x:v>893</x:v>
      </x:c>
      <x:c r="C8" s="5" t="s">
        <x:v>894</x:v>
      </x:c>
      <x:c r="D8" s="5" t="s">
        <x:v>105</x:v>
      </x:c>
      <x:c r="E8" s="5" t="s">
        <x:v>895</x:v>
      </x:c>
      <x:c r="F8" s="7"/>
      <x:c r="G8" s="7"/>
      <x:c r="H8" s="7" t="s">
        <x:v>530</x:v>
      </x:c>
      <x:c r="I8" s="7"/>
      <x:c r="J8" s="8"/>
      <x:c r="K8" s="7"/>
    </x:row>
    <x:row r="9" ht="35.099998474121094" customHeight="1">
      <x:c r="A9" s="6" t="s">
        <x:v>896</x:v>
      </x:c>
      <x:c r="B9" s="6" t="s">
        <x:v>897</x:v>
      </x:c>
      <x:c r="C9" s="6" t="s">
        <x:v>898</x:v>
      </x:c>
      <x:c r="D9" s="6" t="s">
        <x:v>105</x:v>
      </x:c>
      <x:c r="E9" s="6" t="s">
        <x:v>899</x:v>
      </x:c>
      <x:c r="F9" s="7"/>
      <x:c r="G9" s="7"/>
      <x:c r="H9" s="7" t="s">
        <x:v>530</x:v>
      </x:c>
      <x:c r="I9" s="7"/>
      <x:c r="J9" s="8"/>
      <x:c r="K9" s="7"/>
    </x:row>
    <x:row r="10" ht="35.099998474121094" customHeight="1">
      <x:c r="A10" s="5" t="s">
        <x:v>900</x:v>
      </x:c>
      <x:c r="B10" s="5" t="s">
        <x:v>901</x:v>
      </x:c>
      <x:c r="C10" s="5" t="s">
        <x:v>902</x:v>
      </x:c>
      <x:c r="D10" s="5" t="s">
        <x:v>105</x:v>
      </x:c>
      <x:c r="E10" s="5" t="s">
        <x:v>903</x:v>
      </x:c>
      <x:c r="F10" s="7"/>
      <x:c r="G10" s="7"/>
      <x:c r="H10" s="7" t="s">
        <x:v>530</x:v>
      </x:c>
      <x:c r="I10" s="7"/>
      <x:c r="J10" s="8"/>
      <x:c r="K10" s="7"/>
    </x:row>
  </x:sheetData>
  <x:dataValidations count="1">
    <x:dataValidation type="list" sqref="H6:H10">
      <x:formula1>"Pendiente,Go,No-go"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1f6cceb5804fc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9.875" customWidth="1"/>
    <x:col min="2" max="2" width="43.75" customWidth="1"/>
    <x:col min="3" max="4" width="14" customWidth="1"/>
    <x:col min="5" max="5" width="45" customWidth="1"/>
    <x:col min="6" max="6" width="54.875" customWidth="1"/>
    <x:col min="7" max="7" width="20" customWidth="1"/>
    <x:col min="8" max="8" width="28" customWidth="1"/>
    <x:col min="9" max="9" width="18" customWidth="1"/>
    <x:col min="10" max="10" width="20" customWidth="1"/>
    <x:col min="11" max="11" width="4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904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905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26</x:v>
      </x:c>
      <x:c r="B5" s="4" t="s">
        <x:v>906</x:v>
      </x:c>
      <x:c r="C5" s="4" t="s">
        <x:v>907</x:v>
      </x:c>
      <x:c r="D5" s="4" t="s">
        <x:v>908</x:v>
      </x:c>
      <x:c r="E5" s="4" t="s">
        <x:v>909</x:v>
      </x:c>
      <x:c r="F5" s="4" t="s">
        <x:v>910</x:v>
      </x:c>
      <x:c r="G5" s="4" t="s">
        <x:v>911</x:v>
      </x:c>
      <x:c r="H5" s="4" t="s">
        <x:v>912</x:v>
      </x:c>
      <x:c r="I5" s="4" t="s">
        <x:v>913</x:v>
      </x:c>
      <x:c r="J5" s="4" t="s">
        <x:v>94</x:v>
      </x:c>
      <x:c r="K5" s="4" t="s">
        <x:v>97</x:v>
      </x:c>
    </x:row>
    <x:row r="6" ht="27.950000762939453" customHeight="1">
      <x:c r="A6" s="5" t="s">
        <x:v>914</x:v>
      </x:c>
      <x:c r="B6" s="5" t="s">
        <x:v>915</x:v>
      </x:c>
      <x:c r="C6" s="5" t="s">
        <x:v>105</x:v>
      </x:c>
      <x:c r="D6" s="5" t="s">
        <x:v>916</x:v>
      </x:c>
      <x:c r="E6" s="5" t="s">
        <x:v>917</x:v>
      </x:c>
      <x:c r="F6" s="5" t="s">
        <x:v>918</x:v>
      </x:c>
      <x:c r="G6" s="5" t="s">
        <x:v>835</x:v>
      </x:c>
      <x:c r="H6" s="7"/>
      <x:c r="I6" s="8"/>
      <x:c r="J6" s="7" t="s">
        <x:v>919</x:v>
      </x:c>
      <x:c r="K6" s="7"/>
    </x:row>
    <x:row r="7" ht="27.950000762939453" customHeight="1">
      <x:c r="A7" s="6" t="s">
        <x:v>920</x:v>
      </x:c>
      <x:c r="B7" s="6" t="s">
        <x:v>921</x:v>
      </x:c>
      <x:c r="C7" s="6" t="s">
        <x:v>104</x:v>
      </x:c>
      <x:c r="D7" s="6" t="s">
        <x:v>916</x:v>
      </x:c>
      <x:c r="E7" s="6" t="s">
        <x:v>922</x:v>
      </x:c>
      <x:c r="F7" s="6" t="s">
        <x:v>923</x:v>
      </x:c>
      <x:c r="G7" s="6" t="s">
        <x:v>824</x:v>
      </x:c>
      <x:c r="H7" s="7"/>
      <x:c r="I7" s="8"/>
      <x:c r="J7" s="7" t="s">
        <x:v>919</x:v>
      </x:c>
      <x:c r="K7" s="7"/>
    </x:row>
    <x:row r="8" ht="27.950000762939453" customHeight="1">
      <x:c r="A8" s="5" t="s">
        <x:v>924</x:v>
      </x:c>
      <x:c r="B8" s="5" t="s">
        <x:v>925</x:v>
      </x:c>
      <x:c r="C8" s="5" t="s">
        <x:v>145</x:v>
      </x:c>
      <x:c r="D8" s="5" t="s">
        <x:v>916</x:v>
      </x:c>
      <x:c r="E8" s="5" t="s">
        <x:v>926</x:v>
      </x:c>
      <x:c r="F8" s="5" t="s">
        <x:v>927</x:v>
      </x:c>
      <x:c r="G8" s="5" t="s">
        <x:v>845</x:v>
      </x:c>
      <x:c r="H8" s="7"/>
      <x:c r="I8" s="8"/>
      <x:c r="J8" s="7" t="s">
        <x:v>919</x:v>
      </x:c>
      <x:c r="K8" s="7"/>
    </x:row>
    <x:row r="9" ht="27.950000762939453" customHeight="1">
      <x:c r="A9" s="6" t="s">
        <x:v>928</x:v>
      </x:c>
      <x:c r="B9" s="6" t="s">
        <x:v>929</x:v>
      </x:c>
      <x:c r="C9" s="6" t="s">
        <x:v>112</x:v>
      </x:c>
      <x:c r="D9" s="6" t="s">
        <x:v>916</x:v>
      </x:c>
      <x:c r="E9" s="6" t="s">
        <x:v>930</x:v>
      </x:c>
      <x:c r="F9" s="6" t="s">
        <x:v>931</x:v>
      </x:c>
      <x:c r="G9" s="6" t="s">
        <x:v>838</x:v>
      </x:c>
      <x:c r="H9" s="7"/>
      <x:c r="I9" s="8"/>
      <x:c r="J9" s="7" t="s">
        <x:v>919</x:v>
      </x:c>
      <x:c r="K9" s="7"/>
    </x:row>
    <x:row r="10" ht="27.950000762939453" customHeight="1">
      <x:c r="A10" s="5" t="s">
        <x:v>932</x:v>
      </x:c>
      <x:c r="B10" s="5" t="s">
        <x:v>933</x:v>
      </x:c>
      <x:c r="C10" s="5" t="s">
        <x:v>139</x:v>
      </x:c>
      <x:c r="D10" s="5" t="s">
        <x:v>916</x:v>
      </x:c>
      <x:c r="E10" s="5" t="s">
        <x:v>934</x:v>
      </x:c>
      <x:c r="F10" s="5" t="s">
        <x:v>935</x:v>
      </x:c>
      <x:c r="G10" s="5" t="s">
        <x:v>840</x:v>
      </x:c>
      <x:c r="H10" s="7"/>
      <x:c r="I10" s="8"/>
      <x:c r="J10" s="7" t="s">
        <x:v>919</x:v>
      </x:c>
      <x:c r="K10" s="7"/>
    </x:row>
    <x:row r="11" ht="35.099998474121094" customHeight="1">
      <x:c r="A11" s="6" t="s">
        <x:v>936</x:v>
      </x:c>
      <x:c r="B11" s="6" t="s">
        <x:v>937</x:v>
      </x:c>
      <x:c r="C11" s="6" t="s">
        <x:v>104</x:v>
      </x:c>
      <x:c r="D11" s="6" t="s">
        <x:v>916</x:v>
      </x:c>
      <x:c r="E11" s="6" t="s">
        <x:v>938</x:v>
      </x:c>
      <x:c r="F11" s="6" t="s">
        <x:v>939</x:v>
      </x:c>
      <x:c r="G11" s="6" t="s">
        <x:v>840</x:v>
      </x:c>
      <x:c r="H11" s="7"/>
      <x:c r="I11" s="8"/>
      <x:c r="J11" s="7" t="s">
        <x:v>919</x:v>
      </x:c>
      <x:c r="K11" s="7"/>
    </x:row>
    <x:row r="12" ht="35.099998474121094" customHeight="1">
      <x:c r="A12" s="5" t="s">
        <x:v>940</x:v>
      </x:c>
      <x:c r="B12" s="5" t="s">
        <x:v>941</x:v>
      </x:c>
      <x:c r="C12" s="5" t="s">
        <x:v>139</x:v>
      </x:c>
      <x:c r="D12" s="5" t="s">
        <x:v>916</x:v>
      </x:c>
      <x:c r="E12" s="5" t="s">
        <x:v>942</x:v>
      </x:c>
      <x:c r="F12" s="5" t="s">
        <x:v>943</x:v>
      </x:c>
      <x:c r="G12" s="5" t="s">
        <x:v>824</x:v>
      </x:c>
      <x:c r="H12" s="7"/>
      <x:c r="I12" s="8"/>
      <x:c r="J12" s="7" t="s">
        <x:v>919</x:v>
      </x:c>
      <x:c r="K12" s="7"/>
    </x:row>
    <x:row r="13" ht="35.099998474121094" customHeight="1">
      <x:c r="A13" s="6" t="s">
        <x:v>944</x:v>
      </x:c>
      <x:c r="B13" s="6" t="s">
        <x:v>945</x:v>
      </x:c>
      <x:c r="C13" s="6" t="s">
        <x:v>105</x:v>
      </x:c>
      <x:c r="D13" s="6" t="s">
        <x:v>916</x:v>
      </x:c>
      <x:c r="E13" s="6" t="s">
        <x:v>946</x:v>
      </x:c>
      <x:c r="F13" s="6" t="s">
        <x:v>947</x:v>
      </x:c>
      <x:c r="G13" s="6" t="s">
        <x:v>845</x:v>
      </x:c>
      <x:c r="H13" s="7"/>
      <x:c r="I13" s="8"/>
      <x:c r="J13" s="7" t="s">
        <x:v>919</x:v>
      </x:c>
      <x:c r="K13" s="7"/>
    </x:row>
    <x:row r="14" ht="27.950000762939453" customHeight="1">
      <x:c r="A14" s="5" t="s">
        <x:v>948</x:v>
      </x:c>
      <x:c r="B14" s="5" t="s">
        <x:v>949</x:v>
      </x:c>
      <x:c r="C14" s="5" t="s">
        <x:v>139</x:v>
      </x:c>
      <x:c r="D14" s="5" t="s">
        <x:v>950</x:v>
      </x:c>
      <x:c r="E14" s="5" t="s">
        <x:v>951</x:v>
      </x:c>
      <x:c r="F14" s="5" t="s">
        <x:v>952</x:v>
      </x:c>
      <x:c r="G14" s="5" t="s">
        <x:v>835</x:v>
      </x:c>
      <x:c r="H14" s="7"/>
      <x:c r="I14" s="8"/>
      <x:c r="J14" s="7" t="s">
        <x:v>919</x:v>
      </x:c>
      <x:c r="K14" s="7"/>
    </x:row>
    <x:row r="15" ht="35.099998474121094" customHeight="1">
      <x:c r="A15" s="6" t="s">
        <x:v>953</x:v>
      </x:c>
      <x:c r="B15" s="6" t="s">
        <x:v>954</x:v>
      </x:c>
      <x:c r="C15" s="6" t="s">
        <x:v>145</x:v>
      </x:c>
      <x:c r="D15" s="6" t="s">
        <x:v>916</x:v>
      </x:c>
      <x:c r="E15" s="6" t="s">
        <x:v>955</x:v>
      </x:c>
      <x:c r="F15" s="6" t="s">
        <x:v>956</x:v>
      </x:c>
      <x:c r="G15" s="6" t="s">
        <x:v>845</x:v>
      </x:c>
      <x:c r="H15" s="7"/>
      <x:c r="I15" s="8"/>
      <x:c r="J15" s="7" t="s">
        <x:v>919</x:v>
      </x:c>
      <x:c r="K15" s="7"/>
    </x:row>
    <x:row r="16" ht="35.099998474121094" customHeight="1">
      <x:c r="A16" s="5" t="s">
        <x:v>957</x:v>
      </x:c>
      <x:c r="B16" s="5" t="s">
        <x:v>958</x:v>
      </x:c>
      <x:c r="C16" s="5" t="s">
        <x:v>139</x:v>
      </x:c>
      <x:c r="D16" s="5" t="s">
        <x:v>916</x:v>
      </x:c>
      <x:c r="E16" s="5" t="s">
        <x:v>959</x:v>
      </x:c>
      <x:c r="F16" s="5" t="s">
        <x:v>960</x:v>
      </x:c>
      <x:c r="G16" s="5" t="s">
        <x:v>863</x:v>
      </x:c>
      <x:c r="H16" s="7"/>
      <x:c r="I16" s="8"/>
      <x:c r="J16" s="7" t="s">
        <x:v>919</x:v>
      </x:c>
      <x:c r="K16" s="7"/>
    </x:row>
    <x:row r="17">
      <x:c r="A17" s="5" t="str">
        <x:v>R12</x:v>
      </x:c>
      <x:c r="B17" s="5" t="str">
        <x:v>Cambio sin agenda ni seguimiento de aptitud</x:v>
      </x:c>
      <x:c r="C17" s="5" t="str">
        <x:v>CMZ</x:v>
      </x:c>
      <x:c r="D17" s="5" t="str">
        <x:v>Media</x:v>
      </x:c>
      <x:c r="E17" s="5" t="str">
        <x:v>Referentes asisten pero no demuestran autonomía; usuarios sin cobertura de formación.</x:v>
      </x:c>
      <x:c r="F17" s="5" t="str">
        <x:v>Acordar D14 y registrar práctica, brechas y repruebas por población.</x:v>
      </x:c>
      <x:c r="G17" s="5" t="str">
        <x:v>D14</x:v>
      </x:c>
      <x:c r="H17" s="41" t="str"/>
      <x:c r="I17" s="43"/>
      <x:c r="J17" s="41" t="str">
        <x:v>Abierto</x:v>
      </x:c>
      <x:c r="K17" s="41" t="str"/>
    </x:row>
    <x:row r="18">
      <x:c r="A18" s="5" t="str">
        <x:v>R13</x:v>
      </x:c>
      <x:c r="B18" s="5" t="str">
        <x:v>Enlace CIO sin responsable IT operativo</x:v>
      </x:c>
      <x:c r="C18" s="5" t="str">
        <x:v>CIO</x:v>
      </x:c>
      <x:c r="D18" s="5" t="str">
        <x:v>Alta</x:v>
      </x:c>
      <x:c r="E18" s="5" t="str">
        <x:v>No hay persona IT, suplente o ventana para acceso, interfaz y recuperación.</x:v>
      </x:c>
      <x:c r="F18" s="5" t="str">
        <x:v>Cerrar D04 con nombres, horas y cobertura; verificar por circuito antes del paralelo.</x:v>
      </x:c>
      <x:c r="G18" s="5" t="str">
        <x:v>D04</x:v>
      </x:c>
      <x:c r="H18" s="41" t="str"/>
      <x:c r="I18" s="43"/>
      <x:c r="J18" s="41" t="str">
        <x:v>Abierto</x:v>
      </x:c>
      <x:c r="K18" s="41" t="str"/>
    </x:row>
  </x:sheetData>
  <x:dataValidations count="1">
    <x:dataValidation type="list" sqref="J6:J16">
      <x:formula1>"Abierto,En tratamiento,Cerrado"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788fd1e79c491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2" customWidth="1"/>
    <x:col min="2" max="2" width="32.625" customWidth="1"/>
    <x:col min="3" max="3" width="11.5" customWidth="1"/>
    <x:col min="4" max="4" width="55.5" customWidth="1"/>
    <x:col min="5" max="5" width="12.125" customWidth="1"/>
    <x:col min="6" max="6" width="12.625" customWidth="1"/>
    <x:col min="7" max="7" width="15.625" customWidth="1"/>
    <x:col min="8" max="8" width="15.25" customWidth="1"/>
    <x:col min="9" max="9" width="15.75" customWidth="1"/>
    <x:col min="10" max="10" width="53.62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.950000762939453" customHeight="1">
      <x:c r="A2" s="2" t="s">
        <x:v>961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0.100000381469727" customHeight="1">
      <x:c r="A3" s="3" t="s">
        <x:v>962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9.95000076293945" customHeight="1">
      <x:c r="A5" s="4" t="s">
        <x:v>963</x:v>
      </x:c>
      <x:c r="B5" s="4" t="s">
        <x:v>805</x:v>
      </x:c>
      <x:c r="C5" s="4" t="s">
        <x:v>964</x:v>
      </x:c>
      <x:c r="D5" s="4" t="s">
        <x:v>965</x:v>
      </x:c>
      <x:c r="E5" s="4" t="s">
        <x:v>966</x:v>
      </x:c>
      <x:c r="F5" s="4" t="s">
        <x:v>967</x:v>
      </x:c>
      <x:c r="G5" s="4" t="s">
        <x:v>968</x:v>
      </x:c>
      <x:c r="H5" s="4" t="s">
        <x:v>969</x:v>
      </x:c>
      <x:c r="I5" s="4" t="s">
        <x:v>970</x:v>
      </x:c>
      <x:c r="J5" s="4" t="s">
        <x:v>971</x:v>
      </x:c>
    </x:row>
    <x:row r="6" ht="35.099998474121094" customHeight="1">
      <x:c r="A6" s="13" t="s">
        <x:v>105</x:v>
      </x:c>
      <x:c r="B6" s="13" t="s">
        <x:v>972</x:v>
      </x:c>
      <x:c r="C6" s="13" t="s">
        <x:v>973</x:v>
      </x:c>
      <x:c r="D6" s="13" t="s">
        <x:v>974</x:v>
      </x:c>
      <x:c r="E6" s="14">
        <x:v>1</x:v>
      </x:c>
      <x:c r="F6" s="14">
        <x:v>2</x:v>
      </x:c>
      <x:c r="G6" s="14"/>
      <x:c r="H6" s="15" t="str">
        <x:f t="shared" ref="H6:H17" si="0">IF(OR(G6="",E6=""),"n.a.",G6*E6)</x:f>
        <x:v>n.a.</x:v>
      </x:c>
      <x:c r="I6" s="15" t="str">
        <x:f t="shared" ref="I6:I17" si="1">IF(OR(G6="",F6=""),"n.a.",G6*F6)</x:f>
        <x:v>n.a.</x:v>
      </x:c>
      <x:c r="J6" s="13" t="s">
        <x:v>975</x:v>
      </x:c>
    </x:row>
    <x:row r="7" ht="35.099998474121094" customHeight="1">
      <x:c r="A7" s="16" t="s">
        <x:v>112</x:v>
      </x:c>
      <x:c r="B7" s="16" t="s">
        <x:v>976</x:v>
      </x:c>
      <x:c r="C7" s="16" t="s">
        <x:v>977</x:v>
      </x:c>
      <x:c r="D7" s="16" t="s">
        <x:v>978</x:v>
      </x:c>
      <x:c r="E7" s="14">
        <x:v>12</x:v>
      </x:c>
      <x:c r="F7" s="14">
        <x:v>20</x:v>
      </x:c>
      <x:c r="G7" s="14"/>
      <x:c r="H7" s="17" t="str">
        <x:f t="shared" si="0"/>
        <x:v>n.a.</x:v>
      </x:c>
      <x:c r="I7" s="17" t="str">
        <x:f t="shared" si="1"/>
        <x:v>n.a.</x:v>
      </x:c>
      <x:c r="J7" s="16" t="s">
        <x:v>975</x:v>
      </x:c>
    </x:row>
    <x:row r="8" ht="35.099998474121094" customHeight="1">
      <x:c r="A8" s="13" t="s">
        <x:v>139</x:v>
      </x:c>
      <x:c r="B8" s="13" t="s">
        <x:v>979</x:v>
      </x:c>
      <x:c r="C8" s="13" t="s">
        <x:v>977</x:v>
      </x:c>
      <x:c r="D8" s="13" t="s">
        <x:v>980</x:v>
      </x:c>
      <x:c r="E8" s="14">
        <x:v>2</x:v>
      </x:c>
      <x:c r="F8" s="14">
        <x:v>4</x:v>
      </x:c>
      <x:c r="G8" s="14"/>
      <x:c r="H8" s="15" t="str">
        <x:f t="shared" si="0"/>
        <x:v>n.a.</x:v>
      </x:c>
      <x:c r="I8" s="15" t="str">
        <x:f t="shared" si="1"/>
        <x:v>n.a.</x:v>
      </x:c>
      <x:c r="J8" s="13" t="s">
        <x:v>975</x:v>
      </x:c>
    </x:row>
    <x:row r="9" ht="35.099998474121094" customHeight="1">
      <x:c r="A9" s="16" t="s">
        <x:v>138</x:v>
      </x:c>
      <x:c r="B9" s="16" t="s">
        <x:v>981</x:v>
      </x:c>
      <x:c r="C9" s="16" t="s">
        <x:v>977</x:v>
      </x:c>
      <x:c r="D9" s="16" t="s">
        <x:v>982</x:v>
      </x:c>
      <x:c r="E9" s="14">
        <x:v>6</x:v>
      </x:c>
      <x:c r="F9" s="14">
        <x:v>10</x:v>
      </x:c>
      <x:c r="G9" s="14"/>
      <x:c r="H9" s="17" t="str">
        <x:f t="shared" si="0"/>
        <x:v>n.a.</x:v>
      </x:c>
      <x:c r="I9" s="17" t="str">
        <x:f t="shared" si="1"/>
        <x:v>n.a.</x:v>
      </x:c>
      <x:c r="J9" s="16" t="s">
        <x:v>975</x:v>
      </x:c>
    </x:row>
    <x:row r="10" ht="35.099998474121094" customHeight="1">
      <x:c r="A10" s="13" t="s">
        <x:v>983</x:v>
      </x:c>
      <x:c r="B10" s="13" t="s">
        <x:v>984</x:v>
      </x:c>
      <x:c r="C10" s="13" t="s">
        <x:v>977</x:v>
      </x:c>
      <x:c r="D10" s="13" t="s">
        <x:v>985</x:v>
      </x:c>
      <x:c r="E10" s="14">
        <x:v>3</x:v>
      </x:c>
      <x:c r="F10" s="14">
        <x:v>5</x:v>
      </x:c>
      <x:c r="G10" s="14"/>
      <x:c r="H10" s="15" t="str">
        <x:f t="shared" si="0"/>
        <x:v>n.a.</x:v>
      </x:c>
      <x:c r="I10" s="15" t="str">
        <x:f t="shared" si="1"/>
        <x:v>n.a.</x:v>
      </x:c>
      <x:c r="J10" s="13" t="s">
        <x:v>975</x:v>
      </x:c>
    </x:row>
    <x:row r="11" ht="35.099998474121094" customHeight="1">
      <x:c r="A11" s="16" t="s">
        <x:v>470</x:v>
      </x:c>
      <x:c r="B11" s="16" t="s">
        <x:v>986</x:v>
      </x:c>
      <x:c r="C11" s="16" t="s">
        <x:v>977</x:v>
      </x:c>
      <x:c r="D11" s="16" t="s">
        <x:v>987</x:v>
      </x:c>
      <x:c r="E11" s="14">
        <x:v>2</x:v>
      </x:c>
      <x:c r="F11" s="14">
        <x:v>4</x:v>
      </x:c>
      <x:c r="G11" s="14"/>
      <x:c r="H11" s="17" t="str">
        <x:f t="shared" si="0"/>
        <x:v>n.a.</x:v>
      </x:c>
      <x:c r="I11" s="17" t="str">
        <x:f t="shared" si="1"/>
        <x:v>n.a.</x:v>
      </x:c>
      <x:c r="J11" s="16" t="s">
        <x:v>975</x:v>
      </x:c>
    </x:row>
    <x:row r="12" ht="35.099998474121094" customHeight="1">
      <x:c r="A12" s="13" t="s">
        <x:v>171</x:v>
      </x:c>
      <x:c r="B12" s="13" t="s">
        <x:v>988</x:v>
      </x:c>
      <x:c r="C12" s="13" t="s">
        <x:v>977</x:v>
      </x:c>
      <x:c r="D12" s="13" t="s">
        <x:v>989</x:v>
      </x:c>
      <x:c r="E12" s="14">
        <x:v>4</x:v>
      </x:c>
      <x:c r="F12" s="14">
        <x:v>8</x:v>
      </x:c>
      <x:c r="G12" s="14"/>
      <x:c r="H12" s="15" t="str">
        <x:f t="shared" si="0"/>
        <x:v>n.a.</x:v>
      </x:c>
      <x:c r="I12" s="15" t="str">
        <x:f t="shared" si="1"/>
        <x:v>n.a.</x:v>
      </x:c>
      <x:c r="J12" s="13" t="s">
        <x:v>975</x:v>
      </x:c>
    </x:row>
    <x:row r="13" ht="35.099998474121094" customHeight="1">
      <x:c r="A13" s="16" t="s">
        <x:v>145</x:v>
      </x:c>
      <x:c r="B13" s="16" t="s">
        <x:v>990</x:v>
      </x:c>
      <x:c r="C13" s="16" t="s">
        <x:v>977</x:v>
      </x:c>
      <x:c r="D13" s="16" t="s">
        <x:v>991</x:v>
      </x:c>
      <x:c r="E13" s="14">
        <x:v>4</x:v>
      </x:c>
      <x:c r="F13" s="14">
        <x:v>8</x:v>
      </x:c>
      <x:c r="G13" s="14"/>
      <x:c r="H13" s="17" t="str">
        <x:f t="shared" si="0"/>
        <x:v>n.a.</x:v>
      </x:c>
      <x:c r="I13" s="17" t="str">
        <x:f t="shared" si="1"/>
        <x:v>n.a.</x:v>
      </x:c>
      <x:c r="J13" s="16" t="s">
        <x:v>975</x:v>
      </x:c>
    </x:row>
    <x:row r="14" ht="35.099998474121094" customHeight="1">
      <x:c r="A14" s="13" t="s">
        <x:v>104</x:v>
      </x:c>
      <x:c r="B14" s="13" t="s">
        <x:v>992</x:v>
      </x:c>
      <x:c r="C14" s="13" t="s">
        <x:v>993</x:v>
      </x:c>
      <x:c r="D14" s="13" t="s">
        <x:v>994</x:v>
      </x:c>
      <x:c r="E14" s="14">
        <x:v>12</x:v>
      </x:c>
      <x:c r="F14" s="14">
        <x:v>20</x:v>
      </x:c>
      <x:c r="G14" s="14"/>
      <x:c r="H14" s="15" t="str">
        <x:f t="shared" si="0"/>
        <x:v>n.a.</x:v>
      </x:c>
      <x:c r="I14" s="15" t="str">
        <x:f t="shared" si="1"/>
        <x:v>n.a.</x:v>
      </x:c>
      <x:c r="J14" s="13" t="str">
        <x:v>Eduardo Ettlin propuesto como LZ. Consolidar su carga con ZT si ocupa ambos roles.</x:v>
      </x:c>
    </x:row>
    <x:row r="15" ht="35.099998474121094" customHeight="1">
      <x:c r="A15" s="16" t="s">
        <x:v>255</x:v>
      </x:c>
      <x:c r="B15" s="16" t="s">
        <x:v>995</x:v>
      </x:c>
      <x:c r="C15" s="16" t="s">
        <x:v>993</x:v>
      </x:c>
      <x:c r="D15" s="16" t="s">
        <x:v>996</x:v>
      </x:c>
      <x:c r="E15" s="14">
        <x:v>8</x:v>
      </x:c>
      <x:c r="F15" s="14">
        <x:v>16</x:v>
      </x:c>
      <x:c r="G15" s="14"/>
      <x:c r="H15" s="17" t="str">
        <x:f t="shared" si="0"/>
        <x:v>n.a.</x:v>
      </x:c>
      <x:c r="I15" s="17" t="str">
        <x:f t="shared" si="1"/>
        <x:v>n.a.</x:v>
      </x:c>
      <x:c r="J15" s="16" t="s">
        <x:v>975</x:v>
      </x:c>
    </x:row>
    <x:row r="16" ht="35.099998474121094" customHeight="1">
      <x:c r="A16" s="13" t="s">
        <x:v>176</x:v>
      </x:c>
      <x:c r="B16" s="13" t="s">
        <x:v>997</x:v>
      </x:c>
      <x:c r="C16" s="13" t="s">
        <x:v>993</x:v>
      </x:c>
      <x:c r="D16" s="13" t="s">
        <x:v>998</x:v>
      </x:c>
      <x:c r="E16" s="14">
        <x:v>8</x:v>
      </x:c>
      <x:c r="F16" s="14">
        <x:v>16</x:v>
      </x:c>
      <x:c r="G16" s="14"/>
      <x:c r="H16" s="15" t="str">
        <x:f t="shared" si="0"/>
        <x:v>n.a.</x:v>
      </x:c>
      <x:c r="I16" s="15" t="str">
        <x:f t="shared" si="1"/>
        <x:v>n.a.</x:v>
      </x:c>
      <x:c r="J16" s="13" t="str">
        <x:v>Alejandro Ledesma / Eduardo Ettlin propuestos. Definir titular por circuito; no duplicar horas de Eduardo.</x:v>
      </x:c>
    </x:row>
    <x:row r="17" ht="35.099998474121094" customHeight="1">
      <x:c r="A17" s="16" t="s">
        <x:v>471</x:v>
      </x:c>
      <x:c r="B17" s="16" t="s">
        <x:v>999</x:v>
      </x:c>
      <x:c r="C17" s="16" t="s">
        <x:v>1000</x:v>
      </x:c>
      <x:c r="D17" s="16" t="s">
        <x:v>1001</x:v>
      </x:c>
      <x:c r="E17" s="14"/>
      <x:c r="F17" s="14"/>
      <x:c r="G17" s="14"/>
      <x:c r="H17" s="17" t="str">
        <x:f t="shared" si="0"/>
        <x:v>n.a.</x:v>
      </x:c>
      <x:c r="I17" s="17" t="str">
        <x:f t="shared" si="1"/>
        <x:v>n.a.</x:v>
      </x:c>
      <x:c r="J17" s="16" t="s">
        <x:v>975</x:v>
      </x:c>
    </x:row>
    <x:row r="18">
      <x:c r="A18" s="16" t="str">
        <x:v>CIO</x:v>
      </x:c>
      <x:c r="B18" s="16" t="str">
        <x:v>Enlace de Dirección para IT DIARCO</x:v>
      </x:c>
      <x:c r="C18" s="16" t="str">
        <x:v>DIARCO / provisto por Zeetrex</x:v>
      </x:c>
      <x:c r="D18" s="16" t="str">
        <x:v>Conseguir responsable IT operativo, suplente, tiempo y cobertura por ventana.</x:v>
      </x:c>
      <x:c r="E18" s="44"/>
      <x:c r="F18" s="44"/>
      <x:c r="G18" s="44"/>
      <x:c r="H18" s="17" t="str">
        <x:f>IF(OR(G18="",E18=""),"n.a.",G18*E18)</x:f>
        <x:v>n.a.</x:v>
      </x:c>
      <x:c r="I18" s="17" t="str">
        <x:f>IF(OR(G18="",F18=""),"n.a.",G18*F18)</x:f>
        <x:v>n.a.</x:v>
      </x:c>
      <x:c r="J18" s="16" t="str">
        <x:v>Guillermo Añaños, según Gobierno. Acordar dedicación; no equivale al rol IT operativo.</x:v>
      </x:c>
    </x:row>
    <x:row r="19">
      <x:c r="A19" s="16" t="str">
        <x:v>CMZ</x:v>
      </x:c>
      <x:c r="B19" s="16" t="str">
        <x:v>Gestión del Cambio Zeetrex</x:v>
      </x:c>
      <x:c r="C19" s="16" t="str">
        <x:v>Zeetrex</x:v>
      </x:c>
      <x:c r="D19" s="16" t="str">
        <x:v>Coordinar formación, práctica, ciclos de prueba y seguimiento de adopción.</x:v>
      </x:c>
      <x:c r="E19" s="44"/>
      <x:c r="F19" s="44"/>
      <x:c r="G19" s="44"/>
      <x:c r="H19" s="17" t="str">
        <x:f>IF(OR(G19="",E19=""),"n.a.",G19*E19)</x:f>
        <x:v>n.a.</x:v>
      </x:c>
      <x:c r="I19" s="17" t="str">
        <x:f>IF(OR(G19="",F19=""),"n.a.",G19*F19)</x:f>
        <x:v>n.a.</x:v>
      </x:c>
      <x:c r="J19" s="16" t="str">
        <x:v>Pablo Duplessy, según Gobierno. Acordar dedicación con LZ.</x:v>
      </x:c>
    </x:row>
  </x:sheetData>
  <x:pageMargins left="0.7" right="0.7" top="0.75" bottom="0.75" header="0.3" footer="0.3"/>
  <x:tableParts count="1">
    <x:tablePart xmlns:r="http://schemas.openxmlformats.org/officeDocument/2006/relationships" r:id="Rb139f8d00b564d6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10" defaultColWidth="9" defaultRowHeight="14.25"/>
  <x:cols>
    <x:col min="1" max="1" width="23.75" customWidth="1"/>
    <x:col min="2" max="2" width="24.875" customWidth="1"/>
    <x:col min="3" max="3" width="39.625" customWidth="1"/>
    <x:col min="4" max="4" width="27" customWidth="1"/>
    <x:col min="5" max="5" width="85" customWidth="1"/>
  </x:cols>
  <x:sheetData>
    <x:row r="1">
      <x:c r="A1" s="1"/>
      <x:c r="B1" s="1"/>
      <x:c r="C1" s="1"/>
      <x:c r="D1" s="1"/>
      <x:c r="E1" s="1"/>
    </x:row>
    <x:row r="2" ht="24.950000762939453" customHeight="1">
      <x:c r="A2" s="2" t="s">
        <x:v>1002</x:v>
      </x:c>
      <x:c r="B2" s="1"/>
      <x:c r="C2" s="1"/>
      <x:c r="D2" s="1"/>
      <x:c r="E2" s="1"/>
    </x:row>
    <x:row r="3" ht="20.100000381469727" customHeight="1">
      <x:c r="A3" s="3" t="s">
        <x:v>1003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9.95000076293945" customHeight="1">
      <x:c r="A5" s="4" t="s">
        <x:v>806</x:v>
      </x:c>
      <x:c r="B5" s="4" t="s">
        <x:v>1004</x:v>
      </x:c>
      <x:c r="C5" s="4" t="s">
        <x:v>1005</x:v>
      </x:c>
      <x:c r="D5" s="4" t="s">
        <x:v>94</x:v>
      </x:c>
      <x:c r="E5" s="4" t="s">
        <x:v>1006</x:v>
      </x:c>
    </x:row>
    <x:row r="6" ht="27.950000762939453" customHeight="1">
      <x:c r="A6" s="5" t="s">
        <x:v>1007</x:v>
      </x:c>
      <x:c r="B6" s="5" t="s">
        <x:v>1008</x:v>
      </x:c>
      <x:c r="C6" s="5" t="s">
        <x:v>1009</x:v>
      </x:c>
      <x:c r="D6" s="5" t="s">
        <x:v>1010</x:v>
      </x:c>
      <x:c r="E6" s="5" t="s">
        <x:v>1011</x:v>
      </x:c>
    </x:row>
    <x:row r="7" ht="27.950000762939453" customHeight="1">
      <x:c r="A7" s="6" t="s">
        <x:v>1012</x:v>
      </x:c>
      <x:c r="B7" s="6" t="s">
        <x:v>1013</x:v>
      </x:c>
      <x:c r="C7" s="6" t="s">
        <x:v>1014</x:v>
      </x:c>
      <x:c r="D7" s="6" t="s">
        <x:v>1010</x:v>
      </x:c>
      <x:c r="E7" s="6" t="s">
        <x:v>1015</x:v>
      </x:c>
    </x:row>
    <x:row r="8" ht="27.950000762939453" customHeight="1">
      <x:c r="A8" s="5" t="s">
        <x:v>1016</x:v>
      </x:c>
      <x:c r="B8" s="5" t="s">
        <x:v>1017</x:v>
      </x:c>
      <x:c r="C8" s="5" t="s">
        <x:v>1018</x:v>
      </x:c>
      <x:c r="D8" s="5" t="s">
        <x:v>1010</x:v>
      </x:c>
      <x:c r="E8" s="5" t="s">
        <x:v>1019</x:v>
      </x:c>
    </x:row>
    <x:row r="9" ht="27.950000762939453" customHeight="1">
      <x:c r="A9" s="25" t="s">
        <x:v>1020</x:v>
      </x:c>
      <x:c r="B9" s="25" t="s">
        <x:v>1021</x:v>
      </x:c>
      <x:c r="C9" s="25" t="s">
        <x:v>1022</x:v>
      </x:c>
      <x:c r="D9" s="25" t="s">
        <x:v>1010</x:v>
      </x:c>
      <x:c r="E9" s="25" t="s">
        <x:v>1023</x:v>
      </x:c>
    </x:row>
    <x:row r="10" ht="27.950000762939453" customHeight="1">
      <x:c r="A10" s="5" t="s">
        <x:v>1024</x:v>
      </x:c>
      <x:c r="B10" s="25" t="s">
        <x:v>1025</x:v>
      </x:c>
      <x:c r="C10" s="6" t="s">
        <x:v>1026</x:v>
      </x:c>
      <x:c r="D10" s="6" t="s">
        <x:v>1010</x:v>
      </x:c>
      <x:c r="E10" s="6" t="s">
        <x:v>1027</x:v>
      </x:c>
    </x:row>
    <x:row r="11" ht="27.950000762939453" customHeight="1">
      <x:c r="A11" s="5" t="s">
        <x:v>1028</x:v>
      </x:c>
      <x:c r="B11" s="25" t="s">
        <x:v>1029</x:v>
      </x:c>
      <x:c r="C11" s="6" t="s">
        <x:v>1030</x:v>
      </x:c>
      <x:c r="D11" s="6" t="s">
        <x:v>1010</x:v>
      </x:c>
      <x:c r="E11" s="26" t="s">
        <x:v>1031</x:v>
      </x:c>
    </x:row>
    <x:row r="12" ht="27.950000762939453" customHeight="1">
      <x:c r="A12" s="25" t="s">
        <x:v>1032</x:v>
      </x:c>
      <x:c r="B12" s="25" t="s">
        <x:v>1033</x:v>
      </x:c>
      <x:c r="C12" s="5" t="s">
        <x:v>1034</x:v>
      </x:c>
      <x:c r="D12" s="5" t="s">
        <x:v>1010</x:v>
      </x:c>
      <x:c r="E12" s="5" t="s">
        <x:v>1035</x:v>
      </x:c>
    </x:row>
  </x:sheetData>
  <x:pageMargins left="0.7" right="0.7" top="0.75" bottom="0.75" header="0.3" footer="0.3"/>
  <x:tableParts count="1">
    <x:tablePart xmlns:r="http://schemas.openxmlformats.org/officeDocument/2006/relationships" r:id="R5b1530c7d32e4c9e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10" defaultColWidth="9" defaultRowHeight="14.25"/>
  <x:cols>
    <x:col min="1" max="1" width="7.375" customWidth="1"/>
    <x:col min="2" max="2" width="30.5" customWidth="1"/>
    <x:col min="3" max="3" width="25.375" customWidth="1"/>
    <x:col min="4" max="4" width="69.25" customWidth="1"/>
    <x:col min="5" max="5" width="59.75" customWidth="1"/>
  </x:cols>
  <x:sheetData>
    <x:row r="1">
      <x:c r="A1" s="1"/>
      <x:c r="B1" s="1"/>
      <x:c r="C1" s="1"/>
      <x:c r="D1" s="1"/>
      <x:c r="E1" s="1"/>
    </x:row>
    <x:row r="2" ht="24.950000762939453" customHeight="1">
      <x:c r="A2" s="2" t="s">
        <x:v>1036</x:v>
      </x:c>
      <x:c r="B2" s="1"/>
      <x:c r="C2" s="1"/>
      <x:c r="D2" s="1"/>
      <x:c r="E2" s="1"/>
    </x:row>
    <x:row r="3" ht="20.100000381469727" customHeight="1">
      <x:c r="A3" s="3" t="s">
        <x:v>1037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9.95000076293945" customHeight="1">
      <x:c r="A5" s="4" t="s">
        <x:v>26</x:v>
      </x:c>
      <x:c r="B5" s="4" t="s">
        <x:v>1038</x:v>
      </x:c>
      <x:c r="C5" s="4" t="s">
        <x:v>1039</x:v>
      </x:c>
      <x:c r="D5" s="4" t="s">
        <x:v>1040</x:v>
      </x:c>
      <x:c r="E5" s="4" t="s">
        <x:v>1041</x:v>
      </x:c>
    </x:row>
    <x:row r="6" ht="27.950000762939453" customHeight="1">
      <x:c r="A6" s="5" t="s">
        <x:v>1042</x:v>
      </x:c>
      <x:c r="B6" s="5" t="s">
        <x:v>1043</x:v>
      </x:c>
      <x:c r="C6" s="5" t="s">
        <x:v>1044</x:v>
      </x:c>
      <x:c r="D6" s="5" t="s">
        <x:v>1045</x:v>
      </x:c>
      <x:c r="E6" s="5" t="s">
        <x:v>1046</x:v>
      </x:c>
    </x:row>
    <x:row r="7" ht="27.950000762939453" customHeight="1">
      <x:c r="A7" s="6" t="s">
        <x:v>1047</x:v>
      </x:c>
      <x:c r="B7" s="6" t="s">
        <x:v>1048</x:v>
      </x:c>
      <x:c r="C7" s="6" t="s">
        <x:v>1049</x:v>
      </x:c>
      <x:c r="D7" s="6" t="s">
        <x:v>1050</x:v>
      </x:c>
      <x:c r="E7" s="6" t="s">
        <x:v>1051</x:v>
      </x:c>
    </x:row>
    <x:row r="8" ht="27.950000762939453" customHeight="1">
      <x:c r="A8" s="5" t="s">
        <x:v>1052</x:v>
      </x:c>
      <x:c r="B8" s="5" t="s">
        <x:v>1053</x:v>
      </x:c>
      <x:c r="C8" s="5" t="s">
        <x:v>1049</x:v>
      </x:c>
      <x:c r="D8" s="5" t="s">
        <x:v>1054</x:v>
      </x:c>
      <x:c r="E8" s="5" t="s">
        <x:v>1055</x:v>
      </x:c>
    </x:row>
    <x:row r="9" ht="27.950000762939453" customHeight="1">
      <x:c r="A9" s="6" t="s">
        <x:v>1056</x:v>
      </x:c>
      <x:c r="B9" s="6" t="s">
        <x:v>1057</x:v>
      </x:c>
      <x:c r="C9" s="6" t="s">
        <x:v>1058</x:v>
      </x:c>
      <x:c r="D9" s="6" t="s">
        <x:v>1059</x:v>
      </x:c>
      <x:c r="E9" s="6" t="s">
        <x:v>1060</x:v>
      </x:c>
    </x:row>
    <x:row r="10" ht="27.950000762939453" customHeight="1">
      <x:c r="A10" s="5" t="s">
        <x:v>1061</x:v>
      </x:c>
      <x:c r="B10" s="5" t="s">
        <x:v>1062</x:v>
      </x:c>
      <x:c r="C10" s="5" t="s">
        <x:v>1063</x:v>
      </x:c>
      <x:c r="D10" s="5" t="s">
        <x:v>1064</x:v>
      </x:c>
      <x:c r="E10" s="5" t="s">
        <x:v>1065</x:v>
      </x:c>
    </x:row>
    <x:row r="11" ht="27.950000762939453" customHeight="1">
      <x:c r="A11" s="6" t="s">
        <x:v>532</x:v>
      </x:c>
      <x:c r="B11" s="6" t="s">
        <x:v>1066</x:v>
      </x:c>
      <x:c r="C11" s="6" t="s">
        <x:v>1067</x:v>
      </x:c>
      <x:c r="D11" s="6" t="s">
        <x:v>1068</x:v>
      </x:c>
      <x:c r="E11" s="6" t="s">
        <x:v>1069</x:v>
      </x:c>
    </x:row>
    <x:row r="12" ht="27.950000762939453" customHeight="1">
      <x:c r="A12" s="5" t="s">
        <x:v>1070</x:v>
      </x:c>
      <x:c r="B12" s="5" t="s">
        <x:v>1071</x:v>
      </x:c>
      <x:c r="C12" s="5" t="s">
        <x:v>1072</x:v>
      </x:c>
      <x:c r="D12" s="5" t="s">
        <x:v>1073</x:v>
      </x:c>
      <x:c r="E12" s="5" t="s">
        <x:v>1074</x:v>
      </x:c>
    </x:row>
    <x:row r="13" ht="27.950000762939453" customHeight="1">
      <x:c r="A13" s="6" t="s">
        <x:v>555</x:v>
      </x:c>
      <x:c r="B13" s="6" t="s">
        <x:v>1075</x:v>
      </x:c>
      <x:c r="C13" s="6" t="s">
        <x:v>1044</x:v>
      </x:c>
      <x:c r="D13" s="6" t="s">
        <x:v>1076</x:v>
      </x:c>
      <x:c r="E13" s="6" t="s">
        <x:v>1077</x:v>
      </x:c>
    </x:row>
    <x:row r="14" ht="27.950000762939453" customHeight="1">
      <x:c r="A14" s="5" t="s">
        <x:v>844</x:v>
      </x:c>
      <x:c r="B14" s="5" t="s">
        <x:v>1078</x:v>
      </x:c>
      <x:c r="C14" s="5" t="s">
        <x:v>1044</x:v>
      </x:c>
      <x:c r="D14" s="5" t="s">
        <x:v>1079</x:v>
      </x:c>
      <x:c r="E14" s="5" t="s">
        <x:v>1080</x:v>
      </x:c>
    </x:row>
    <x:row r="15" ht="35.099998474121094" customHeight="1">
      <x:c r="A15" s="6" t="s">
        <x:v>1081</x:v>
      </x:c>
      <x:c r="B15" s="6" t="s">
        <x:v>1082</x:v>
      </x:c>
      <x:c r="C15" s="6" t="s">
        <x:v>1083</x:v>
      </x:c>
      <x:c r="D15" s="6" t="s">
        <x:v>1084</x:v>
      </x:c>
      <x:c r="E15" s="6" t="s">
        <x:v>1085</x:v>
      </x:c>
    </x:row>
    <x:row r="16" ht="35.099998474121094" customHeight="1">
      <x:c r="A16" s="5" t="s">
        <x:v>1086</x:v>
      </x:c>
      <x:c r="B16" s="5" t="s">
        <x:v>1087</x:v>
      </x:c>
      <x:c r="C16" s="5" t="s">
        <x:v>1088</x:v>
      </x:c>
      <x:c r="D16" s="5" t="s">
        <x:v>1089</x:v>
      </x:c>
      <x:c r="E16" s="5" t="s">
        <x:v>1090</x:v>
      </x:c>
    </x:row>
    <x:row r="17" ht="35.099998474121094" customHeight="1">
      <x:c r="A17" s="6" t="s">
        <x:v>1091</x:v>
      </x:c>
      <x:c r="B17" s="6" t="s">
        <x:v>1092</x:v>
      </x:c>
      <x:c r="C17" s="6" t="s">
        <x:v>1044</x:v>
      </x:c>
      <x:c r="D17" s="6" t="s">
        <x:v>1093</x:v>
      </x:c>
      <x:c r="E17" s="6" t="s">
        <x:v>1046</x:v>
      </x:c>
    </x:row>
    <x:row r="18" ht="35.099998474121094" customHeight="1">
      <x:c r="A18" s="5" t="s">
        <x:v>1094</x:v>
      </x:c>
      <x:c r="B18" s="5" t="s">
        <x:v>1095</x:v>
      </x:c>
      <x:c r="C18" s="5" t="s">
        <x:v>1044</x:v>
      </x:c>
      <x:c r="D18" s="5" t="s">
        <x:v>1096</x:v>
      </x:c>
      <x:c r="E18" s="5" t="s">
        <x:v>1046</x:v>
      </x:c>
    </x:row>
    <x:row r="19" ht="35.099998474121094" customHeight="1">
      <x:c r="A19" s="6" t="s">
        <x:v>1097</x:v>
      </x:c>
      <x:c r="B19" s="6" t="s">
        <x:v>1098</x:v>
      </x:c>
      <x:c r="C19" s="6" t="s">
        <x:v>1099</x:v>
      </x:c>
      <x:c r="D19" s="6" t="s">
        <x:v>1100</x:v>
      </x:c>
      <x:c r="E19" s="6" t="s">
        <x:v>1101</x:v>
      </x:c>
    </x:row>
    <x:row r="20" ht="35.099998474121094" customHeight="1">
      <x:c r="A20" s="5" t="s">
        <x:v>1102</x:v>
      </x:c>
      <x:c r="B20" s="5" t="s">
        <x:v>1103</x:v>
      </x:c>
      <x:c r="C20" s="5" t="s">
        <x:v>1104</x:v>
      </x:c>
      <x:c r="D20" s="5" t="s">
        <x:v>1105</x:v>
      </x:c>
      <x:c r="E20" s="5" t="s">
        <x:v>1106</x:v>
      </x:c>
    </x:row>
    <x:row r="21" ht="35.099998474121094" customHeight="1">
      <x:c r="A21" s="6" t="s">
        <x:v>1107</x:v>
      </x:c>
      <x:c r="B21" s="6" t="s">
        <x:v>1108</x:v>
      </x:c>
      <x:c r="C21" s="6" t="s">
        <x:v>1109</x:v>
      </x:c>
      <x:c r="D21" s="6" t="s">
        <x:v>1110</x:v>
      </x:c>
      <x:c r="E21" s="6" t="s">
        <x:v>1111</x:v>
      </x:c>
    </x:row>
    <x:row r="22" ht="27.950000762939453" customHeight="1">
      <x:c r="A22" s="5" t="s">
        <x:v>1112</x:v>
      </x:c>
      <x:c r="B22" s="5" t="s">
        <x:v>1113</x:v>
      </x:c>
      <x:c r="C22" s="5" t="s">
        <x:v>1114</x:v>
      </x:c>
      <x:c r="D22" s="5" t="s">
        <x:v>1115</x:v>
      </x:c>
      <x:c r="E22" s="5" t="s">
        <x:v>1116</x:v>
      </x:c>
    </x:row>
    <x:row r="23" ht="35.099998474121094" customHeight="1">
      <x:c r="A23" s="6" t="s">
        <x:v>1117</x:v>
      </x:c>
      <x:c r="B23" s="6" t="s">
        <x:v>1118</x:v>
      </x:c>
      <x:c r="C23" s="6" t="s">
        <x:v>1104</x:v>
      </x:c>
      <x:c r="D23" s="6" t="s">
        <x:v>1119</x:v>
      </x:c>
      <x:c r="E23" s="6" t="s">
        <x:v>1120</x:v>
      </x:c>
    </x:row>
    <x:row r="24" ht="35.099998474121094" customHeight="1">
      <x:c r="A24" s="5" t="s">
        <x:v>871</x:v>
      </x:c>
      <x:c r="B24" s="5" t="s">
        <x:v>1121</x:v>
      </x:c>
      <x:c r="C24" s="5" t="s">
        <x:v>1122</x:v>
      </x:c>
      <x:c r="D24" s="5" t="s">
        <x:v>1123</x:v>
      </x:c>
      <x:c r="E24" s="5" t="s">
        <x:v>1124</x:v>
      </x:c>
    </x:row>
    <x:row r="25" ht="35.099998474121094" customHeight="1">
      <x:c r="A25" s="6" t="s">
        <x:v>1125</x:v>
      </x:c>
      <x:c r="B25" s="6" t="s">
        <x:v>1126</x:v>
      </x:c>
      <x:c r="C25" s="6" t="s">
        <x:v>1122</x:v>
      </x:c>
      <x:c r="D25" s="6" t="s">
        <x:v>1127</x:v>
      </x:c>
      <x:c r="E25" s="6" t="s">
        <x:v>1128</x:v>
      </x:c>
    </x:row>
    <x:row r="26" ht="27.950000762939453" customHeight="1">
      <x:c r="A26" s="5" t="s">
        <x:v>1129</x:v>
      </x:c>
      <x:c r="B26" s="5" t="s">
        <x:v>1130</x:v>
      </x:c>
      <x:c r="C26" s="5" t="s">
        <x:v>1109</x:v>
      </x:c>
      <x:c r="D26" s="5" t="s">
        <x:v>1131</x:v>
      </x:c>
      <x:c r="E26" s="5" t="s">
        <x:v>1132</x:v>
      </x:c>
    </x:row>
    <x:row r="27" ht="27.950000762939453" customHeight="1">
      <x:c r="A27" s="6" t="s">
        <x:v>1133</x:v>
      </x:c>
      <x:c r="B27" s="6" t="s">
        <x:v>1134</x:v>
      </x:c>
      <x:c r="C27" s="6" t="s">
        <x:v>1135</x:v>
      </x:c>
      <x:c r="D27" s="6" t="s">
        <x:v>1136</x:v>
      </x:c>
      <x:c r="E27" s="6" t="s">
        <x:v>1137</x:v>
      </x:c>
    </x:row>
    <x:row r="28" ht="35.099998474121094" customHeight="1">
      <x:c r="A28" s="5" t="s">
        <x:v>1138</x:v>
      </x:c>
      <x:c r="B28" s="5" t="s">
        <x:v>1139</x:v>
      </x:c>
      <x:c r="C28" s="5" t="s">
        <x:v>1135</x:v>
      </x:c>
      <x:c r="D28" s="5" t="s">
        <x:v>1140</x:v>
      </x:c>
      <x:c r="E28" s="5" t="s">
        <x:v>1141</x:v>
      </x:c>
    </x:row>
    <x:row r="29" ht="35.099998474121094" customHeight="1">
      <x:c r="A29" s="6" t="s">
        <x:v>1142</x:v>
      </x:c>
      <x:c r="B29" s="6" t="s">
        <x:v>1143</x:v>
      </x:c>
      <x:c r="C29" s="6" t="s">
        <x:v>1135</x:v>
      </x:c>
      <x:c r="D29" s="6" t="s">
        <x:v>1144</x:v>
      </x:c>
      <x:c r="E29" s="6" t="s">
        <x:v>1145</x:v>
      </x:c>
    </x:row>
    <x:row r="30" ht="35.099998474121094" customHeight="1">
      <x:c r="A30" s="5" t="s">
        <x:v>1146</x:v>
      </x:c>
      <x:c r="B30" s="5" t="s">
        <x:v>1147</x:v>
      </x:c>
      <x:c r="C30" s="5" t="s">
        <x:v>1148</x:v>
      </x:c>
      <x:c r="D30" s="5" t="s">
        <x:v>1149</x:v>
      </x:c>
      <x:c r="E30" s="5" t="s">
        <x:v>1150</x:v>
      </x:c>
    </x:row>
    <x:row r="31" ht="35.099998474121094" customHeight="1">
      <x:c r="A31" s="6" t="s">
        <x:v>572</x:v>
      </x:c>
      <x:c r="B31" s="6" t="s">
        <x:v>1151</x:v>
      </x:c>
      <x:c r="C31" s="6" t="s">
        <x:v>1152</x:v>
      </x:c>
      <x:c r="D31" s="6" t="s">
        <x:v>1153</x:v>
      </x:c>
      <x:c r="E31" s="6" t="s">
        <x:v>1154</x:v>
      </x:c>
    </x:row>
    <x:row r="32" ht="35.099998474121094" customHeight="1">
      <x:c r="A32" s="5" t="s">
        <x:v>1155</x:v>
      </x:c>
      <x:c r="B32" s="5" t="s">
        <x:v>1156</x:v>
      </x:c>
      <x:c r="C32" s="5" t="s">
        <x:v>1157</x:v>
      </x:c>
      <x:c r="D32" s="5" t="s">
        <x:v>1158</x:v>
      </x:c>
      <x:c r="E32" s="5" t="s">
        <x:v>1159</x:v>
      </x:c>
    </x:row>
    <x:row r="33" ht="35.099998474121094" customHeight="1">
      <x:c r="A33" s="6" t="s">
        <x:v>585</x:v>
      </x:c>
      <x:c r="B33" s="6" t="s">
        <x:v>1160</x:v>
      </x:c>
      <x:c r="C33" s="6" t="s">
        <x:v>1135</x:v>
      </x:c>
      <x:c r="D33" s="6" t="s">
        <x:v>1161</x:v>
      </x:c>
      <x:c r="E33" s="6" t="s">
        <x:v>1162</x:v>
      </x:c>
    </x:row>
    <x:row r="34" ht="27.950000762939453" customHeight="1">
      <x:c r="A34" s="5" t="s">
        <x:v>1163</x:v>
      </x:c>
      <x:c r="B34" s="5" t="s">
        <x:v>1164</x:v>
      </x:c>
      <x:c r="C34" s="5" t="s">
        <x:v>1135</x:v>
      </x:c>
      <x:c r="D34" s="5" t="s">
        <x:v>1165</x:v>
      </x:c>
      <x:c r="E34" s="5" t="s">
        <x:v>1166</x:v>
      </x:c>
    </x:row>
    <x:row r="35" ht="27.950000762939453" customHeight="1">
      <x:c r="A35" s="6" t="s">
        <x:v>1167</x:v>
      </x:c>
      <x:c r="B35" s="6" t="s">
        <x:v>1168</x:v>
      </x:c>
      <x:c r="C35" s="6" t="s">
        <x:v>1135</x:v>
      </x:c>
      <x:c r="D35" s="6" t="s">
        <x:v>1169</x:v>
      </x:c>
      <x:c r="E35" s="6" t="s">
        <x:v>1170</x:v>
      </x:c>
    </x:row>
    <x:row r="36">
      <x:c r="A36" s="6" t="str">
        <x:v>S31</x:v>
      </x:c>
      <x:c r="B36" s="6" t="str">
        <x:v>Gobierno editado por el usuario</x:v>
      </x:c>
      <x:c r="C36" s="6" t="str">
        <x:v>30/10/2026</x:v>
      </x:c>
      <x:c r="D36" s="6" t="str">
        <x:v>Siete perfiles propuestos; funciones y horas pendientes de aceptación.</x:v>
      </x:c>
      <x:c r="E36" s="6" t="str">
        <x:v>Libro v0.2, Gobierno!A5:E12</x:v>
      </x:c>
    </x:row>
    <x:row r="37">
      <x:c r="A37" s="6" t="str">
        <x:v>S32</x:v>
      </x:c>
      <x:c r="B37" s="6" t="str">
        <x:v>Asignaciones editadas por el usuario</x:v>
      </x:c>
      <x:c r="C37" s="6" t="str">
        <x:v>30/10/2026</x:v>
      </x:c>
      <x:c r="D37" s="6" t="str">
        <x:v>Interlocutores ampliados por módulo; campos nominales aún vacíos.</x:v>
      </x:c>
      <x:c r="E37" s="6" t="str">
        <x:v>Libro v0.2, Asignaciones!A5:Q15</x:v>
      </x:c>
    </x:row>
  </x:sheetData>
  <x:pageMargins left="0.7" right="0.7" top="0.75" bottom="0.75" header="0.3" footer="0.3"/>
  <x:tableParts count="1">
    <x:tablePart xmlns:r="http://schemas.openxmlformats.org/officeDocument/2006/relationships" r:id="R3a29b4283cad4e4e"/>
  </x:tableParts>
</x:worksheet>
</file>